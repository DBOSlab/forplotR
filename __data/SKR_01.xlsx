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omingoscardoso/Library/Mobile Documents/com~apple~CloudDocs/Publications_Bioinformatics/forplotR_package_and_website/forplotR/data/"/>
    </mc:Choice>
  </mc:AlternateContent>
  <xr:revisionPtr revIDLastSave="0" documentId="13_ncr:1_{500CC4AD-CB68-E24B-8589-972B4D7BB46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" sheetId="1" r:id="rId1"/>
  </sheets>
  <definedNames>
    <definedName name="_xlnm._FilterDatabase" localSheetId="0" hidden="1">Data!$A$2:$T$493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J7" i="1" s="1"/>
  <c r="S8" i="1"/>
  <c r="J8" i="1" s="1"/>
  <c r="S9" i="1"/>
  <c r="J9" i="1" s="1"/>
  <c r="S10" i="1"/>
  <c r="J10" i="1" s="1"/>
  <c r="S11" i="1"/>
  <c r="J11" i="1" s="1"/>
  <c r="S12" i="1"/>
  <c r="J12" i="1" s="1"/>
  <c r="S13" i="1"/>
  <c r="J13" i="1" s="1"/>
  <c r="S14" i="1"/>
  <c r="J14" i="1" s="1"/>
  <c r="S15" i="1"/>
  <c r="J15" i="1" s="1"/>
  <c r="S16" i="1"/>
  <c r="J16" i="1" s="1"/>
  <c r="S17" i="1"/>
  <c r="J17" i="1" s="1"/>
  <c r="S18" i="1"/>
  <c r="J18" i="1" s="1"/>
  <c r="S19" i="1"/>
  <c r="J19" i="1" s="1"/>
  <c r="S20" i="1"/>
  <c r="J20" i="1" s="1"/>
  <c r="S21" i="1"/>
  <c r="J21" i="1" s="1"/>
  <c r="S22" i="1"/>
  <c r="J22" i="1" s="1"/>
  <c r="S23" i="1"/>
  <c r="J23" i="1" s="1"/>
  <c r="S24" i="1"/>
  <c r="J24" i="1" s="1"/>
  <c r="S25" i="1"/>
  <c r="J25" i="1" s="1"/>
  <c r="S26" i="1"/>
  <c r="J26" i="1" s="1"/>
  <c r="S27" i="1"/>
  <c r="J27" i="1" s="1"/>
  <c r="S28" i="1"/>
  <c r="J28" i="1" s="1"/>
  <c r="S29" i="1"/>
  <c r="J29" i="1" s="1"/>
  <c r="S30" i="1"/>
  <c r="J30" i="1" s="1"/>
  <c r="S31" i="1"/>
  <c r="J31" i="1" s="1"/>
  <c r="S32" i="1"/>
  <c r="J32" i="1" s="1"/>
  <c r="S33" i="1"/>
  <c r="J33" i="1" s="1"/>
  <c r="S34" i="1"/>
  <c r="J34" i="1" s="1"/>
  <c r="S35" i="1"/>
  <c r="J35" i="1" s="1"/>
  <c r="S36" i="1"/>
  <c r="J36" i="1" s="1"/>
  <c r="S37" i="1"/>
  <c r="J37" i="1" s="1"/>
  <c r="S38" i="1"/>
  <c r="J38" i="1" s="1"/>
  <c r="S39" i="1"/>
  <c r="J39" i="1" s="1"/>
  <c r="S40" i="1"/>
  <c r="J40" i="1" s="1"/>
  <c r="S41" i="1"/>
  <c r="J41" i="1" s="1"/>
  <c r="S42" i="1"/>
  <c r="J42" i="1" s="1"/>
  <c r="S43" i="1"/>
  <c r="J43" i="1" s="1"/>
  <c r="S44" i="1"/>
  <c r="J44" i="1" s="1"/>
  <c r="S45" i="1"/>
  <c r="J45" i="1" s="1"/>
  <c r="S46" i="1"/>
  <c r="J46" i="1" s="1"/>
  <c r="S47" i="1"/>
  <c r="J47" i="1" s="1"/>
  <c r="S48" i="1"/>
  <c r="J48" i="1" s="1"/>
  <c r="S49" i="1"/>
  <c r="J49" i="1" s="1"/>
  <c r="S50" i="1"/>
  <c r="J50" i="1" s="1"/>
  <c r="S51" i="1"/>
  <c r="J51" i="1" s="1"/>
  <c r="S52" i="1"/>
  <c r="J52" i="1" s="1"/>
  <c r="S53" i="1"/>
  <c r="J53" i="1" s="1"/>
  <c r="S54" i="1"/>
  <c r="J54" i="1" s="1"/>
  <c r="S55" i="1"/>
  <c r="J55" i="1" s="1"/>
  <c r="S56" i="1"/>
  <c r="J56" i="1" s="1"/>
  <c r="S57" i="1"/>
  <c r="J57" i="1" s="1"/>
  <c r="S58" i="1"/>
  <c r="J58" i="1" s="1"/>
  <c r="S59" i="1"/>
  <c r="J59" i="1" s="1"/>
  <c r="S60" i="1"/>
  <c r="J60" i="1" s="1"/>
  <c r="S61" i="1"/>
  <c r="J61" i="1" s="1"/>
  <c r="S62" i="1"/>
  <c r="J62" i="1" s="1"/>
  <c r="S63" i="1"/>
  <c r="J63" i="1" s="1"/>
  <c r="S64" i="1"/>
  <c r="J64" i="1" s="1"/>
  <c r="S65" i="1"/>
  <c r="J65" i="1" s="1"/>
  <c r="S66" i="1"/>
  <c r="J66" i="1" s="1"/>
  <c r="S67" i="1"/>
  <c r="J67" i="1" s="1"/>
  <c r="S68" i="1"/>
  <c r="J68" i="1" s="1"/>
  <c r="S69" i="1"/>
  <c r="J69" i="1" s="1"/>
  <c r="S70" i="1"/>
  <c r="J70" i="1" s="1"/>
  <c r="S71" i="1"/>
  <c r="J71" i="1" s="1"/>
  <c r="S72" i="1"/>
  <c r="J72" i="1" s="1"/>
  <c r="S73" i="1"/>
  <c r="J73" i="1" s="1"/>
  <c r="S74" i="1"/>
  <c r="J74" i="1" s="1"/>
  <c r="S75" i="1"/>
  <c r="J75" i="1" s="1"/>
  <c r="S76" i="1"/>
  <c r="J76" i="1" s="1"/>
  <c r="S77" i="1"/>
  <c r="J77" i="1" s="1"/>
  <c r="S78" i="1"/>
  <c r="J78" i="1" s="1"/>
  <c r="S79" i="1"/>
  <c r="J79" i="1" s="1"/>
  <c r="S80" i="1"/>
  <c r="J80" i="1" s="1"/>
  <c r="S81" i="1"/>
  <c r="J81" i="1" s="1"/>
  <c r="S82" i="1"/>
  <c r="J82" i="1" s="1"/>
  <c r="S83" i="1"/>
  <c r="J83" i="1" s="1"/>
  <c r="S84" i="1"/>
  <c r="J84" i="1" s="1"/>
  <c r="S85" i="1"/>
  <c r="J85" i="1" s="1"/>
  <c r="S86" i="1"/>
  <c r="J86" i="1" s="1"/>
  <c r="S87" i="1"/>
  <c r="J87" i="1" s="1"/>
  <c r="S88" i="1"/>
  <c r="J88" i="1" s="1"/>
  <c r="S89" i="1"/>
  <c r="J89" i="1" s="1"/>
  <c r="S90" i="1"/>
  <c r="J90" i="1" s="1"/>
  <c r="S91" i="1"/>
  <c r="J91" i="1" s="1"/>
  <c r="S92" i="1"/>
  <c r="J92" i="1" s="1"/>
  <c r="S93" i="1"/>
  <c r="J93" i="1" s="1"/>
  <c r="S94" i="1"/>
  <c r="J94" i="1" s="1"/>
  <c r="S95" i="1"/>
  <c r="J95" i="1" s="1"/>
  <c r="S96" i="1"/>
  <c r="J96" i="1" s="1"/>
  <c r="S97" i="1"/>
  <c r="J97" i="1" s="1"/>
  <c r="S98" i="1"/>
  <c r="J98" i="1" s="1"/>
  <c r="S99" i="1"/>
  <c r="J99" i="1" s="1"/>
  <c r="S100" i="1"/>
  <c r="J100" i="1" s="1"/>
  <c r="S101" i="1"/>
  <c r="J101" i="1" s="1"/>
  <c r="S102" i="1"/>
  <c r="J102" i="1" s="1"/>
  <c r="S103" i="1"/>
  <c r="J103" i="1" s="1"/>
  <c r="S104" i="1"/>
  <c r="J104" i="1" s="1"/>
  <c r="S105" i="1"/>
  <c r="J105" i="1" s="1"/>
  <c r="S106" i="1"/>
  <c r="J106" i="1" s="1"/>
  <c r="S107" i="1"/>
  <c r="J107" i="1" s="1"/>
  <c r="S108" i="1"/>
  <c r="J108" i="1" s="1"/>
  <c r="S109" i="1"/>
  <c r="J109" i="1" s="1"/>
  <c r="S110" i="1"/>
  <c r="J110" i="1" s="1"/>
  <c r="S111" i="1"/>
  <c r="J111" i="1" s="1"/>
  <c r="S112" i="1"/>
  <c r="J112" i="1" s="1"/>
  <c r="S113" i="1"/>
  <c r="J113" i="1" s="1"/>
  <c r="S114" i="1"/>
  <c r="J114" i="1" s="1"/>
  <c r="S115" i="1"/>
  <c r="J115" i="1" s="1"/>
  <c r="S116" i="1"/>
  <c r="J116" i="1" s="1"/>
  <c r="S117" i="1"/>
  <c r="J117" i="1" s="1"/>
  <c r="S118" i="1"/>
  <c r="J118" i="1" s="1"/>
  <c r="S119" i="1"/>
  <c r="J119" i="1" s="1"/>
  <c r="S120" i="1"/>
  <c r="J120" i="1" s="1"/>
  <c r="S121" i="1"/>
  <c r="J121" i="1" s="1"/>
  <c r="S122" i="1"/>
  <c r="J122" i="1" s="1"/>
  <c r="S123" i="1"/>
  <c r="J123" i="1" s="1"/>
  <c r="S124" i="1"/>
  <c r="J124" i="1" s="1"/>
  <c r="S125" i="1"/>
  <c r="J125" i="1" s="1"/>
  <c r="S126" i="1"/>
  <c r="J126" i="1" s="1"/>
  <c r="S127" i="1"/>
  <c r="J127" i="1" s="1"/>
  <c r="S128" i="1"/>
  <c r="J128" i="1" s="1"/>
  <c r="S129" i="1"/>
  <c r="J129" i="1" s="1"/>
  <c r="S130" i="1"/>
  <c r="J130" i="1" s="1"/>
  <c r="S131" i="1"/>
  <c r="J131" i="1" s="1"/>
  <c r="S132" i="1"/>
  <c r="J132" i="1" s="1"/>
  <c r="S133" i="1"/>
  <c r="J133" i="1" s="1"/>
  <c r="S134" i="1"/>
  <c r="J134" i="1" s="1"/>
  <c r="S135" i="1"/>
  <c r="J135" i="1" s="1"/>
  <c r="S136" i="1"/>
  <c r="J136" i="1" s="1"/>
  <c r="S137" i="1"/>
  <c r="J137" i="1" s="1"/>
  <c r="S138" i="1"/>
  <c r="J138" i="1" s="1"/>
  <c r="S139" i="1"/>
  <c r="J139" i="1" s="1"/>
  <c r="S140" i="1"/>
  <c r="J140" i="1" s="1"/>
  <c r="S141" i="1"/>
  <c r="J141" i="1" s="1"/>
  <c r="S142" i="1"/>
  <c r="J142" i="1" s="1"/>
  <c r="S143" i="1"/>
  <c r="J143" i="1" s="1"/>
  <c r="S144" i="1"/>
  <c r="J144" i="1" s="1"/>
  <c r="S145" i="1"/>
  <c r="J145" i="1" s="1"/>
  <c r="S146" i="1"/>
  <c r="J146" i="1" s="1"/>
  <c r="S147" i="1"/>
  <c r="J147" i="1" s="1"/>
  <c r="S148" i="1"/>
  <c r="J148" i="1" s="1"/>
  <c r="S149" i="1"/>
  <c r="J149" i="1" s="1"/>
  <c r="S150" i="1"/>
  <c r="J150" i="1" s="1"/>
  <c r="S151" i="1"/>
  <c r="J151" i="1" s="1"/>
  <c r="S152" i="1"/>
  <c r="J152" i="1" s="1"/>
  <c r="S153" i="1"/>
  <c r="J153" i="1" s="1"/>
  <c r="S154" i="1"/>
  <c r="J154" i="1" s="1"/>
  <c r="S155" i="1"/>
  <c r="J155" i="1" s="1"/>
  <c r="S156" i="1"/>
  <c r="J156" i="1" s="1"/>
  <c r="S157" i="1"/>
  <c r="J157" i="1" s="1"/>
  <c r="S158" i="1"/>
  <c r="J158" i="1" s="1"/>
  <c r="S159" i="1"/>
  <c r="J159" i="1" s="1"/>
  <c r="S160" i="1"/>
  <c r="J160" i="1" s="1"/>
  <c r="S161" i="1"/>
  <c r="J161" i="1" s="1"/>
  <c r="S162" i="1"/>
  <c r="J162" i="1" s="1"/>
  <c r="S163" i="1"/>
  <c r="J163" i="1" s="1"/>
  <c r="S164" i="1"/>
  <c r="J164" i="1" s="1"/>
  <c r="S165" i="1"/>
  <c r="J165" i="1" s="1"/>
  <c r="S166" i="1"/>
  <c r="J166" i="1" s="1"/>
  <c r="S167" i="1"/>
  <c r="J167" i="1" s="1"/>
  <c r="S168" i="1"/>
  <c r="J168" i="1" s="1"/>
  <c r="S169" i="1"/>
  <c r="J169" i="1" s="1"/>
  <c r="S170" i="1"/>
  <c r="J170" i="1" s="1"/>
  <c r="S171" i="1"/>
  <c r="J171" i="1" s="1"/>
  <c r="S172" i="1"/>
  <c r="J172" i="1" s="1"/>
  <c r="S173" i="1"/>
  <c r="J173" i="1" s="1"/>
  <c r="S174" i="1"/>
  <c r="J174" i="1" s="1"/>
  <c r="S175" i="1"/>
  <c r="J175" i="1" s="1"/>
  <c r="S176" i="1"/>
  <c r="J176" i="1" s="1"/>
  <c r="S177" i="1"/>
  <c r="J177" i="1" s="1"/>
  <c r="S178" i="1"/>
  <c r="J178" i="1" s="1"/>
  <c r="S179" i="1"/>
  <c r="J179" i="1" s="1"/>
  <c r="S180" i="1"/>
  <c r="J180" i="1" s="1"/>
  <c r="S181" i="1"/>
  <c r="J181" i="1" s="1"/>
  <c r="S182" i="1"/>
  <c r="J182" i="1" s="1"/>
  <c r="S183" i="1"/>
  <c r="J183" i="1" s="1"/>
  <c r="S184" i="1"/>
  <c r="J184" i="1" s="1"/>
  <c r="S185" i="1"/>
  <c r="J185" i="1" s="1"/>
  <c r="S186" i="1"/>
  <c r="J186" i="1" s="1"/>
  <c r="S187" i="1"/>
  <c r="J187" i="1" s="1"/>
  <c r="S188" i="1"/>
  <c r="J188" i="1" s="1"/>
  <c r="S189" i="1"/>
  <c r="J189" i="1" s="1"/>
  <c r="S190" i="1"/>
  <c r="J190" i="1" s="1"/>
  <c r="S191" i="1"/>
  <c r="J191" i="1" s="1"/>
  <c r="S192" i="1"/>
  <c r="J192" i="1" s="1"/>
  <c r="S193" i="1"/>
  <c r="J193" i="1" s="1"/>
  <c r="S194" i="1"/>
  <c r="J194" i="1" s="1"/>
  <c r="S195" i="1"/>
  <c r="J195" i="1" s="1"/>
  <c r="S196" i="1"/>
  <c r="J196" i="1" s="1"/>
  <c r="S197" i="1"/>
  <c r="J197" i="1" s="1"/>
  <c r="S198" i="1"/>
  <c r="J198" i="1" s="1"/>
  <c r="S199" i="1"/>
  <c r="J199" i="1" s="1"/>
  <c r="S200" i="1"/>
  <c r="J200" i="1" s="1"/>
  <c r="S201" i="1"/>
  <c r="J201" i="1" s="1"/>
  <c r="S202" i="1"/>
  <c r="J202" i="1" s="1"/>
  <c r="S203" i="1"/>
  <c r="J203" i="1" s="1"/>
  <c r="S204" i="1"/>
  <c r="J204" i="1" s="1"/>
  <c r="S205" i="1"/>
  <c r="J205" i="1" s="1"/>
  <c r="S206" i="1"/>
  <c r="J206" i="1" s="1"/>
  <c r="S207" i="1"/>
  <c r="J207" i="1" s="1"/>
  <c r="S208" i="1"/>
  <c r="J208" i="1" s="1"/>
  <c r="S209" i="1"/>
  <c r="J209" i="1" s="1"/>
  <c r="S210" i="1"/>
  <c r="J210" i="1" s="1"/>
  <c r="S211" i="1"/>
  <c r="J211" i="1" s="1"/>
  <c r="S212" i="1"/>
  <c r="J212" i="1" s="1"/>
  <c r="S213" i="1"/>
  <c r="J213" i="1" s="1"/>
  <c r="S214" i="1"/>
  <c r="J214" i="1" s="1"/>
  <c r="S215" i="1"/>
  <c r="J215" i="1" s="1"/>
  <c r="S216" i="1"/>
  <c r="J216" i="1" s="1"/>
  <c r="S217" i="1"/>
  <c r="J217" i="1" s="1"/>
  <c r="S218" i="1"/>
  <c r="J218" i="1" s="1"/>
  <c r="S219" i="1"/>
  <c r="J219" i="1" s="1"/>
  <c r="S220" i="1"/>
  <c r="J220" i="1" s="1"/>
  <c r="S221" i="1"/>
  <c r="J221" i="1" s="1"/>
  <c r="S222" i="1"/>
  <c r="J222" i="1" s="1"/>
  <c r="S223" i="1"/>
  <c r="J223" i="1" s="1"/>
  <c r="S224" i="1"/>
  <c r="J224" i="1" s="1"/>
  <c r="S225" i="1"/>
  <c r="J225" i="1" s="1"/>
  <c r="S226" i="1"/>
  <c r="J226" i="1" s="1"/>
  <c r="S227" i="1"/>
  <c r="J227" i="1" s="1"/>
  <c r="S228" i="1"/>
  <c r="J228" i="1" s="1"/>
  <c r="S229" i="1"/>
  <c r="J229" i="1" s="1"/>
  <c r="S230" i="1"/>
  <c r="J230" i="1" s="1"/>
  <c r="S231" i="1"/>
  <c r="J231" i="1" s="1"/>
  <c r="S232" i="1"/>
  <c r="J232" i="1" s="1"/>
  <c r="S233" i="1"/>
  <c r="J233" i="1" s="1"/>
  <c r="S234" i="1"/>
  <c r="J234" i="1" s="1"/>
  <c r="S235" i="1"/>
  <c r="J235" i="1" s="1"/>
  <c r="S236" i="1"/>
  <c r="J236" i="1" s="1"/>
  <c r="S237" i="1"/>
  <c r="J237" i="1" s="1"/>
  <c r="S238" i="1"/>
  <c r="J238" i="1" s="1"/>
  <c r="S239" i="1"/>
  <c r="J239" i="1" s="1"/>
  <c r="S240" i="1"/>
  <c r="J240" i="1" s="1"/>
  <c r="S241" i="1"/>
  <c r="J241" i="1" s="1"/>
  <c r="S242" i="1"/>
  <c r="J242" i="1" s="1"/>
  <c r="S243" i="1"/>
  <c r="J243" i="1" s="1"/>
  <c r="S244" i="1"/>
  <c r="J244" i="1" s="1"/>
  <c r="S245" i="1"/>
  <c r="J245" i="1" s="1"/>
  <c r="S246" i="1"/>
  <c r="J246" i="1" s="1"/>
  <c r="S247" i="1"/>
  <c r="J247" i="1" s="1"/>
  <c r="S248" i="1"/>
  <c r="J248" i="1" s="1"/>
  <c r="S249" i="1"/>
  <c r="J249" i="1" s="1"/>
  <c r="S250" i="1"/>
  <c r="J250" i="1" s="1"/>
  <c r="S251" i="1"/>
  <c r="J251" i="1" s="1"/>
  <c r="S252" i="1"/>
  <c r="J252" i="1" s="1"/>
  <c r="S253" i="1"/>
  <c r="J253" i="1" s="1"/>
  <c r="S254" i="1"/>
  <c r="J254" i="1" s="1"/>
  <c r="S255" i="1"/>
  <c r="J255" i="1" s="1"/>
  <c r="S256" i="1"/>
  <c r="J256" i="1" s="1"/>
  <c r="S257" i="1"/>
  <c r="J257" i="1" s="1"/>
  <c r="S258" i="1"/>
  <c r="J258" i="1" s="1"/>
  <c r="S259" i="1"/>
  <c r="J259" i="1" s="1"/>
  <c r="S260" i="1"/>
  <c r="J260" i="1" s="1"/>
  <c r="S261" i="1"/>
  <c r="J261" i="1" s="1"/>
  <c r="S262" i="1"/>
  <c r="J262" i="1" s="1"/>
  <c r="S263" i="1"/>
  <c r="J263" i="1" s="1"/>
  <c r="S264" i="1"/>
  <c r="J264" i="1" s="1"/>
  <c r="S265" i="1"/>
  <c r="J265" i="1" s="1"/>
  <c r="S266" i="1"/>
  <c r="J266" i="1" s="1"/>
  <c r="S267" i="1"/>
  <c r="J267" i="1" s="1"/>
  <c r="S268" i="1"/>
  <c r="J268" i="1" s="1"/>
  <c r="S269" i="1"/>
  <c r="J269" i="1" s="1"/>
  <c r="S270" i="1"/>
  <c r="J270" i="1" s="1"/>
  <c r="S271" i="1"/>
  <c r="J271" i="1" s="1"/>
  <c r="S272" i="1"/>
  <c r="J272" i="1" s="1"/>
  <c r="S273" i="1"/>
  <c r="J273" i="1" s="1"/>
  <c r="S274" i="1"/>
  <c r="J274" i="1" s="1"/>
  <c r="S275" i="1"/>
  <c r="J275" i="1" s="1"/>
  <c r="S276" i="1"/>
  <c r="J276" i="1" s="1"/>
  <c r="S277" i="1"/>
  <c r="J277" i="1" s="1"/>
  <c r="S278" i="1"/>
  <c r="J278" i="1" s="1"/>
  <c r="S279" i="1"/>
  <c r="J279" i="1" s="1"/>
  <c r="S280" i="1"/>
  <c r="J280" i="1" s="1"/>
  <c r="S281" i="1"/>
  <c r="J281" i="1" s="1"/>
  <c r="S282" i="1"/>
  <c r="J282" i="1" s="1"/>
  <c r="S283" i="1"/>
  <c r="J283" i="1" s="1"/>
  <c r="S284" i="1"/>
  <c r="J284" i="1" s="1"/>
  <c r="S285" i="1"/>
  <c r="J285" i="1" s="1"/>
  <c r="S286" i="1"/>
  <c r="J286" i="1" s="1"/>
  <c r="S287" i="1"/>
  <c r="J287" i="1" s="1"/>
  <c r="S288" i="1"/>
  <c r="J288" i="1" s="1"/>
  <c r="S289" i="1"/>
  <c r="J289" i="1" s="1"/>
  <c r="S290" i="1"/>
  <c r="J290" i="1" s="1"/>
  <c r="S291" i="1"/>
  <c r="J291" i="1" s="1"/>
  <c r="S292" i="1"/>
  <c r="J292" i="1" s="1"/>
  <c r="S293" i="1"/>
  <c r="J293" i="1" s="1"/>
  <c r="S294" i="1"/>
  <c r="J294" i="1" s="1"/>
  <c r="S295" i="1"/>
  <c r="J295" i="1" s="1"/>
  <c r="S296" i="1"/>
  <c r="J296" i="1" s="1"/>
  <c r="S297" i="1"/>
  <c r="J297" i="1" s="1"/>
  <c r="S298" i="1"/>
  <c r="J298" i="1" s="1"/>
  <c r="S299" i="1"/>
  <c r="J299" i="1" s="1"/>
  <c r="S300" i="1"/>
  <c r="J300" i="1" s="1"/>
  <c r="S301" i="1"/>
  <c r="J301" i="1" s="1"/>
  <c r="S302" i="1"/>
  <c r="J302" i="1" s="1"/>
  <c r="S303" i="1"/>
  <c r="J303" i="1" s="1"/>
  <c r="S304" i="1"/>
  <c r="J304" i="1" s="1"/>
  <c r="S305" i="1"/>
  <c r="J305" i="1" s="1"/>
  <c r="S306" i="1"/>
  <c r="J306" i="1" s="1"/>
  <c r="S307" i="1"/>
  <c r="J307" i="1" s="1"/>
  <c r="S308" i="1"/>
  <c r="J308" i="1" s="1"/>
  <c r="S309" i="1"/>
  <c r="J309" i="1" s="1"/>
  <c r="S310" i="1"/>
  <c r="J310" i="1" s="1"/>
  <c r="S311" i="1"/>
  <c r="J311" i="1" s="1"/>
  <c r="S312" i="1"/>
  <c r="J312" i="1" s="1"/>
  <c r="S313" i="1"/>
  <c r="J313" i="1" s="1"/>
  <c r="S314" i="1"/>
  <c r="J314" i="1" s="1"/>
  <c r="S315" i="1"/>
  <c r="J315" i="1" s="1"/>
  <c r="S316" i="1"/>
  <c r="J316" i="1" s="1"/>
  <c r="S317" i="1"/>
  <c r="J317" i="1" s="1"/>
  <c r="S318" i="1"/>
  <c r="J318" i="1" s="1"/>
  <c r="S319" i="1"/>
  <c r="J319" i="1" s="1"/>
  <c r="S320" i="1"/>
  <c r="J320" i="1" s="1"/>
  <c r="S321" i="1"/>
  <c r="J321" i="1" s="1"/>
  <c r="S322" i="1"/>
  <c r="J322" i="1" s="1"/>
  <c r="S323" i="1"/>
  <c r="J323" i="1" s="1"/>
  <c r="S324" i="1"/>
  <c r="J324" i="1" s="1"/>
  <c r="S325" i="1"/>
  <c r="J325" i="1" s="1"/>
  <c r="S326" i="1"/>
  <c r="J326" i="1" s="1"/>
  <c r="S327" i="1"/>
  <c r="J327" i="1" s="1"/>
  <c r="S328" i="1"/>
  <c r="J328" i="1" s="1"/>
  <c r="S329" i="1"/>
  <c r="J329" i="1" s="1"/>
  <c r="S330" i="1"/>
  <c r="J330" i="1" s="1"/>
  <c r="S331" i="1"/>
  <c r="J331" i="1" s="1"/>
  <c r="S332" i="1"/>
  <c r="J332" i="1" s="1"/>
  <c r="S333" i="1"/>
  <c r="J333" i="1" s="1"/>
  <c r="S334" i="1"/>
  <c r="J334" i="1" s="1"/>
  <c r="S335" i="1"/>
  <c r="J335" i="1" s="1"/>
  <c r="S336" i="1"/>
  <c r="J336" i="1" s="1"/>
  <c r="S337" i="1"/>
  <c r="J337" i="1" s="1"/>
  <c r="S338" i="1"/>
  <c r="J338" i="1" s="1"/>
  <c r="S339" i="1"/>
  <c r="J339" i="1" s="1"/>
  <c r="S340" i="1"/>
  <c r="J340" i="1" s="1"/>
  <c r="S341" i="1"/>
  <c r="J341" i="1" s="1"/>
  <c r="S342" i="1"/>
  <c r="J342" i="1" s="1"/>
  <c r="S343" i="1"/>
  <c r="J343" i="1" s="1"/>
  <c r="S344" i="1"/>
  <c r="J344" i="1" s="1"/>
  <c r="S345" i="1"/>
  <c r="J345" i="1" s="1"/>
  <c r="S346" i="1"/>
  <c r="J346" i="1" s="1"/>
  <c r="S347" i="1"/>
  <c r="J347" i="1" s="1"/>
  <c r="S348" i="1"/>
  <c r="J348" i="1" s="1"/>
  <c r="S349" i="1"/>
  <c r="J349" i="1" s="1"/>
  <c r="S350" i="1"/>
  <c r="J350" i="1" s="1"/>
  <c r="S351" i="1"/>
  <c r="J351" i="1" s="1"/>
  <c r="S352" i="1"/>
  <c r="J352" i="1" s="1"/>
  <c r="S353" i="1"/>
  <c r="J353" i="1" s="1"/>
  <c r="S354" i="1"/>
  <c r="J354" i="1" s="1"/>
  <c r="S355" i="1"/>
  <c r="J355" i="1" s="1"/>
  <c r="S356" i="1"/>
  <c r="J356" i="1" s="1"/>
  <c r="S357" i="1"/>
  <c r="J357" i="1" s="1"/>
  <c r="S358" i="1"/>
  <c r="J358" i="1" s="1"/>
  <c r="S359" i="1"/>
  <c r="J359" i="1" s="1"/>
  <c r="S360" i="1"/>
  <c r="J360" i="1" s="1"/>
  <c r="S361" i="1"/>
  <c r="J361" i="1" s="1"/>
  <c r="S362" i="1"/>
  <c r="J362" i="1" s="1"/>
  <c r="S363" i="1"/>
  <c r="J363" i="1" s="1"/>
  <c r="S364" i="1"/>
  <c r="J364" i="1" s="1"/>
  <c r="S365" i="1"/>
  <c r="J365" i="1" s="1"/>
  <c r="S366" i="1"/>
  <c r="J366" i="1" s="1"/>
  <c r="S367" i="1"/>
  <c r="J367" i="1" s="1"/>
  <c r="S368" i="1"/>
  <c r="J368" i="1" s="1"/>
  <c r="S369" i="1"/>
  <c r="J369" i="1" s="1"/>
  <c r="S370" i="1"/>
  <c r="J370" i="1" s="1"/>
  <c r="S371" i="1"/>
  <c r="J371" i="1" s="1"/>
  <c r="S372" i="1"/>
  <c r="J372" i="1" s="1"/>
  <c r="S373" i="1"/>
  <c r="J373" i="1" s="1"/>
  <c r="S374" i="1"/>
  <c r="J374" i="1" s="1"/>
  <c r="S375" i="1"/>
  <c r="J375" i="1" s="1"/>
  <c r="S376" i="1"/>
  <c r="J376" i="1" s="1"/>
  <c r="S377" i="1"/>
  <c r="J377" i="1" s="1"/>
  <c r="S378" i="1"/>
  <c r="J378" i="1" s="1"/>
  <c r="S379" i="1"/>
  <c r="J379" i="1" s="1"/>
  <c r="S380" i="1"/>
  <c r="J380" i="1" s="1"/>
  <c r="S381" i="1"/>
  <c r="J381" i="1" s="1"/>
  <c r="S382" i="1"/>
  <c r="J382" i="1" s="1"/>
  <c r="S383" i="1"/>
  <c r="J383" i="1" s="1"/>
  <c r="S384" i="1"/>
  <c r="J384" i="1" s="1"/>
  <c r="S385" i="1"/>
  <c r="J385" i="1" s="1"/>
  <c r="S386" i="1"/>
  <c r="J386" i="1" s="1"/>
  <c r="S387" i="1"/>
  <c r="J387" i="1" s="1"/>
  <c r="S388" i="1"/>
  <c r="J388" i="1" s="1"/>
  <c r="S389" i="1"/>
  <c r="J389" i="1" s="1"/>
  <c r="S390" i="1"/>
  <c r="J390" i="1" s="1"/>
  <c r="S391" i="1"/>
  <c r="J391" i="1" s="1"/>
  <c r="S392" i="1"/>
  <c r="J392" i="1" s="1"/>
  <c r="S393" i="1"/>
  <c r="J393" i="1" s="1"/>
  <c r="S394" i="1"/>
  <c r="J394" i="1" s="1"/>
  <c r="S395" i="1"/>
  <c r="J395" i="1" s="1"/>
  <c r="S396" i="1"/>
  <c r="J396" i="1" s="1"/>
  <c r="S397" i="1"/>
  <c r="J397" i="1" s="1"/>
  <c r="S398" i="1"/>
  <c r="J398" i="1" s="1"/>
  <c r="S399" i="1"/>
  <c r="J399" i="1" s="1"/>
  <c r="S400" i="1"/>
  <c r="J400" i="1" s="1"/>
  <c r="S401" i="1"/>
  <c r="J401" i="1" s="1"/>
  <c r="S402" i="1"/>
  <c r="J402" i="1" s="1"/>
  <c r="S403" i="1"/>
  <c r="J403" i="1" s="1"/>
  <c r="S404" i="1"/>
  <c r="J404" i="1" s="1"/>
  <c r="S405" i="1"/>
  <c r="J405" i="1" s="1"/>
  <c r="S406" i="1"/>
  <c r="J406" i="1" s="1"/>
  <c r="S407" i="1"/>
  <c r="J407" i="1" s="1"/>
  <c r="S408" i="1"/>
  <c r="J408" i="1" s="1"/>
  <c r="S409" i="1"/>
  <c r="J409" i="1" s="1"/>
  <c r="S410" i="1"/>
  <c r="J410" i="1" s="1"/>
  <c r="S411" i="1"/>
  <c r="J411" i="1" s="1"/>
  <c r="S412" i="1"/>
  <c r="J412" i="1" s="1"/>
  <c r="S413" i="1"/>
  <c r="J413" i="1" s="1"/>
  <c r="S414" i="1"/>
  <c r="J414" i="1" s="1"/>
  <c r="S415" i="1"/>
  <c r="J415" i="1" s="1"/>
  <c r="S416" i="1"/>
  <c r="J416" i="1" s="1"/>
  <c r="S417" i="1"/>
  <c r="J417" i="1" s="1"/>
  <c r="S418" i="1"/>
  <c r="J418" i="1" s="1"/>
  <c r="S419" i="1"/>
  <c r="J419" i="1" s="1"/>
  <c r="S420" i="1"/>
  <c r="J420" i="1" s="1"/>
  <c r="S421" i="1"/>
  <c r="J421" i="1" s="1"/>
  <c r="S422" i="1"/>
  <c r="J422" i="1" s="1"/>
  <c r="S423" i="1"/>
  <c r="J423" i="1" s="1"/>
  <c r="S424" i="1"/>
  <c r="J424" i="1" s="1"/>
  <c r="S425" i="1"/>
  <c r="J425" i="1" s="1"/>
  <c r="S426" i="1"/>
  <c r="J426" i="1" s="1"/>
  <c r="S427" i="1"/>
  <c r="J427" i="1" s="1"/>
  <c r="S428" i="1"/>
  <c r="J428" i="1" s="1"/>
  <c r="S429" i="1"/>
  <c r="J429" i="1" s="1"/>
  <c r="S430" i="1"/>
  <c r="J430" i="1" s="1"/>
  <c r="S431" i="1"/>
  <c r="J431" i="1" s="1"/>
  <c r="S432" i="1"/>
  <c r="J432" i="1" s="1"/>
  <c r="S433" i="1"/>
  <c r="J433" i="1" s="1"/>
  <c r="S434" i="1"/>
  <c r="J434" i="1" s="1"/>
  <c r="S435" i="1"/>
  <c r="J435" i="1" s="1"/>
  <c r="S436" i="1"/>
  <c r="J436" i="1" s="1"/>
  <c r="S437" i="1"/>
  <c r="J437" i="1" s="1"/>
  <c r="S438" i="1"/>
  <c r="J438" i="1" s="1"/>
  <c r="S439" i="1"/>
  <c r="J439" i="1" s="1"/>
  <c r="S440" i="1"/>
  <c r="J440" i="1" s="1"/>
  <c r="S441" i="1"/>
  <c r="J441" i="1" s="1"/>
  <c r="S442" i="1"/>
  <c r="J442" i="1" s="1"/>
  <c r="S443" i="1"/>
  <c r="J443" i="1" s="1"/>
  <c r="S444" i="1"/>
  <c r="J444" i="1" s="1"/>
  <c r="S445" i="1"/>
  <c r="J445" i="1" s="1"/>
  <c r="S446" i="1"/>
  <c r="J446" i="1" s="1"/>
  <c r="S447" i="1"/>
  <c r="J447" i="1" s="1"/>
  <c r="S448" i="1"/>
  <c r="J448" i="1" s="1"/>
  <c r="S449" i="1"/>
  <c r="J449" i="1" s="1"/>
  <c r="S450" i="1"/>
  <c r="J450" i="1" s="1"/>
  <c r="S451" i="1"/>
  <c r="J451" i="1" s="1"/>
  <c r="S452" i="1"/>
  <c r="J452" i="1" s="1"/>
  <c r="S453" i="1"/>
  <c r="J453" i="1" s="1"/>
  <c r="S454" i="1"/>
  <c r="J454" i="1" s="1"/>
  <c r="S455" i="1"/>
  <c r="J455" i="1" s="1"/>
  <c r="S456" i="1"/>
  <c r="J456" i="1" s="1"/>
  <c r="S457" i="1"/>
  <c r="J457" i="1" s="1"/>
  <c r="S458" i="1"/>
  <c r="J458" i="1" s="1"/>
  <c r="S459" i="1"/>
  <c r="J459" i="1" s="1"/>
  <c r="S460" i="1"/>
  <c r="J460" i="1" s="1"/>
  <c r="S461" i="1"/>
  <c r="J461" i="1" s="1"/>
  <c r="S462" i="1"/>
  <c r="J462" i="1" s="1"/>
  <c r="S463" i="1"/>
  <c r="J463" i="1" s="1"/>
  <c r="S464" i="1"/>
  <c r="J464" i="1" s="1"/>
  <c r="S465" i="1"/>
  <c r="J465" i="1" s="1"/>
  <c r="S466" i="1"/>
  <c r="J466" i="1" s="1"/>
  <c r="S467" i="1"/>
  <c r="J467" i="1" s="1"/>
  <c r="S468" i="1"/>
  <c r="J468" i="1" s="1"/>
  <c r="S469" i="1"/>
  <c r="J469" i="1" s="1"/>
  <c r="S470" i="1"/>
  <c r="J470" i="1" s="1"/>
  <c r="S471" i="1"/>
  <c r="J471" i="1" s="1"/>
  <c r="S472" i="1"/>
  <c r="J472" i="1" s="1"/>
  <c r="S473" i="1"/>
  <c r="J473" i="1" s="1"/>
  <c r="S474" i="1"/>
  <c r="J474" i="1" s="1"/>
  <c r="S475" i="1"/>
  <c r="J475" i="1" s="1"/>
  <c r="S476" i="1"/>
  <c r="J476" i="1" s="1"/>
  <c r="S477" i="1"/>
  <c r="J477" i="1" s="1"/>
  <c r="S478" i="1"/>
  <c r="J478" i="1" s="1"/>
  <c r="S479" i="1"/>
  <c r="J479" i="1" s="1"/>
  <c r="S480" i="1"/>
  <c r="J480" i="1" s="1"/>
  <c r="S481" i="1"/>
  <c r="J481" i="1" s="1"/>
  <c r="S482" i="1"/>
  <c r="J482" i="1" s="1"/>
  <c r="S483" i="1"/>
  <c r="J483" i="1" s="1"/>
  <c r="S484" i="1"/>
  <c r="J484" i="1" s="1"/>
  <c r="S485" i="1"/>
  <c r="J485" i="1" s="1"/>
  <c r="S486" i="1"/>
  <c r="J486" i="1" s="1"/>
  <c r="S487" i="1"/>
  <c r="J487" i="1" s="1"/>
  <c r="S488" i="1"/>
  <c r="J488" i="1" s="1"/>
  <c r="S489" i="1"/>
  <c r="J489" i="1" s="1"/>
  <c r="S490" i="1"/>
  <c r="J490" i="1" s="1"/>
  <c r="S491" i="1"/>
  <c r="J491" i="1" s="1"/>
  <c r="S492" i="1"/>
  <c r="J492" i="1" s="1"/>
  <c r="S493" i="1"/>
  <c r="J493" i="1" s="1"/>
  <c r="S6" i="1"/>
  <c r="J6" i="1" s="1"/>
  <c r="S5" i="1"/>
  <c r="J5" i="1" s="1"/>
  <c r="S4" i="1"/>
  <c r="J4" i="1" s="1"/>
  <c r="S3" i="1"/>
  <c r="J3" i="1" s="1"/>
</calcChain>
</file>

<file path=xl/sharedStrings.xml><?xml version="1.0" encoding="utf-8"?>
<sst xmlns="http://schemas.openxmlformats.org/spreadsheetml/2006/main" count="3220" uniqueCount="406">
  <si>
    <t>X</t>
  </si>
  <si>
    <t>Y</t>
  </si>
  <si>
    <t>Família botânica | Ksyapiâhapiâra pârikiã</t>
  </si>
  <si>
    <t>Espécie botânica | Isi científico</t>
  </si>
  <si>
    <t>Morfoespecies</t>
  </si>
  <si>
    <t>D</t>
  </si>
  <si>
    <t>Silica</t>
  </si>
  <si>
    <t>Notas de campo | Mipypari jinsã</t>
  </si>
  <si>
    <t>CAP</t>
  </si>
  <si>
    <t>Clusiaceae</t>
  </si>
  <si>
    <t>A</t>
  </si>
  <si>
    <t>látex branco</t>
  </si>
  <si>
    <t>Burseraceae</t>
  </si>
  <si>
    <t>Protium sp1</t>
  </si>
  <si>
    <t>Mãja sĩnkrataa – fruta é sinkrataa</t>
  </si>
  <si>
    <t>Indet</t>
  </si>
  <si>
    <t>Indet indet</t>
  </si>
  <si>
    <t>Pyssymãsâ</t>
  </si>
  <si>
    <t xml:space="preserve">quebrada em 4 m </t>
  </si>
  <si>
    <t>B</t>
  </si>
  <si>
    <t>Arecaceae</t>
  </si>
  <si>
    <t>Inajá</t>
  </si>
  <si>
    <t>Moraceae</t>
  </si>
  <si>
    <t>Pâkkâpâri</t>
  </si>
  <si>
    <t>látex bege, amarelo róseo</t>
  </si>
  <si>
    <t>EQ</t>
  </si>
  <si>
    <t>látex</t>
  </si>
  <si>
    <t>Pârikjôkjô</t>
  </si>
  <si>
    <t>E</t>
  </si>
  <si>
    <t>boa lenha</t>
  </si>
  <si>
    <t>Kjakkântomã</t>
  </si>
  <si>
    <t>exsudato bege</t>
  </si>
  <si>
    <t>yes</t>
  </si>
  <si>
    <t xml:space="preserve">quebrada em 4 m, látex amarelo </t>
  </si>
  <si>
    <t>C</t>
  </si>
  <si>
    <t xml:space="preserve">látex </t>
  </si>
  <si>
    <t>Intakjapâri</t>
  </si>
  <si>
    <t>Pjõpjõpâri</t>
  </si>
  <si>
    <t>envira</t>
  </si>
  <si>
    <t>Leguminosae</t>
  </si>
  <si>
    <t>jatobá</t>
  </si>
  <si>
    <t>Mãja sĩnkrataa – fruta é sinkrataa, quebrada em 6 m</t>
  </si>
  <si>
    <t>Mãja sĩnkrataa - fruta é sinkrataa</t>
  </si>
  <si>
    <t>Nyctaginaceae</t>
  </si>
  <si>
    <t>Neea ovalifolia</t>
  </si>
  <si>
    <t>CB</t>
  </si>
  <si>
    <t>quebrada em 3 m</t>
  </si>
  <si>
    <t>Kwatipâri</t>
  </si>
  <si>
    <t>Malvaceae</t>
  </si>
  <si>
    <t>Sôpôapâri</t>
  </si>
  <si>
    <t>Cacauí</t>
  </si>
  <si>
    <t>FC</t>
  </si>
  <si>
    <t>Pata-de_onça</t>
  </si>
  <si>
    <t>látex amarelo claro</t>
  </si>
  <si>
    <t>Annonaceae</t>
  </si>
  <si>
    <t>F</t>
  </si>
  <si>
    <t>FW</t>
  </si>
  <si>
    <t>EBQ</t>
  </si>
  <si>
    <t xml:space="preserve">quebrada em 10 m </t>
  </si>
  <si>
    <t>Elaeocarpaceae</t>
  </si>
  <si>
    <t>Sloanea robusta</t>
  </si>
  <si>
    <t>seiva laranja</t>
  </si>
  <si>
    <t>Pytinpy</t>
  </si>
  <si>
    <t>Mãja sĩnkrataa - fruta é sinkrataa, quebrada em 3 m</t>
  </si>
  <si>
    <t>BZ</t>
  </si>
  <si>
    <t>Lauraceae</t>
  </si>
  <si>
    <t>Jââ</t>
  </si>
  <si>
    <t>Pjonpjon = envira</t>
  </si>
  <si>
    <t>Rubiaceae</t>
  </si>
  <si>
    <t>Pjutipâri</t>
  </si>
  <si>
    <t>Genipapo</t>
  </si>
  <si>
    <t>Q</t>
  </si>
  <si>
    <t>paxiuba</t>
  </si>
  <si>
    <t xml:space="preserve">látex amarelo </t>
  </si>
  <si>
    <t xml:space="preserve">quebrada em 10 m, látex </t>
  </si>
  <si>
    <t>látex branco pastoso</t>
  </si>
  <si>
    <t>Myrtaceae</t>
  </si>
  <si>
    <t>Myrcia indet</t>
  </si>
  <si>
    <t>Urticaceae</t>
  </si>
  <si>
    <t>Sêsêpari</t>
  </si>
  <si>
    <t>seiva transparente</t>
  </si>
  <si>
    <t>Caricaceae</t>
  </si>
  <si>
    <t>raiz aérea</t>
  </si>
  <si>
    <t>Anacardiaceae</t>
  </si>
  <si>
    <t>Thyrsodium spruceanum</t>
  </si>
  <si>
    <t>Kjasôrakriti – Thyrsodium spruceanum Benth.</t>
  </si>
  <si>
    <t>Chrysobalanaceae</t>
  </si>
  <si>
    <t>Moquilea minutiflora</t>
  </si>
  <si>
    <t>boa de lenha</t>
  </si>
  <si>
    <t>Sõnkrêja</t>
  </si>
  <si>
    <t xml:space="preserve"> Quebrado em 6 m, mãja sĩnkrataa - fruta é sinkrataa, pata de gata</t>
  </si>
  <si>
    <t>Helicostylis tomentosa</t>
  </si>
  <si>
    <t>Kjãpepeta</t>
  </si>
  <si>
    <t>Sapotaceae</t>
  </si>
  <si>
    <t>Pouteria indet</t>
  </si>
  <si>
    <t>Kwatujapâri</t>
  </si>
  <si>
    <t>EC</t>
  </si>
  <si>
    <t>quebrado em 9m, látex</t>
  </si>
  <si>
    <t>Pensâritipâri</t>
  </si>
  <si>
    <t xml:space="preserve">resina transparente </t>
  </si>
  <si>
    <t>Ceiba ou Magnolia (2º planilha da Natalia)</t>
  </si>
  <si>
    <t>Iriartella setigera</t>
  </si>
  <si>
    <t>FCB</t>
  </si>
  <si>
    <t xml:space="preserve">quebrado em 2 m </t>
  </si>
  <si>
    <t>CZ</t>
  </si>
  <si>
    <t>quebrado em 7 m, látex</t>
  </si>
  <si>
    <t>quebrado em 4 m, látex</t>
  </si>
  <si>
    <t>FB</t>
  </si>
  <si>
    <t xml:space="preserve">quebrado em 6 m </t>
  </si>
  <si>
    <t>BF</t>
  </si>
  <si>
    <t>quebrado em 2.5 m</t>
  </si>
  <si>
    <t>Siparunaceae</t>
  </si>
  <si>
    <t>Prepasônõpâri</t>
  </si>
  <si>
    <t>Z</t>
  </si>
  <si>
    <t>Bignoniaceae</t>
  </si>
  <si>
    <t xml:space="preserve">se tem látex não é protium </t>
  </si>
  <si>
    <t>quebrada em 8 m, boa de lenha</t>
  </si>
  <si>
    <t>bacupari</t>
  </si>
  <si>
    <t>rémedio para coceira de comer capivara</t>
  </si>
  <si>
    <t>diâmetro apenas estimado</t>
  </si>
  <si>
    <t>EYZ</t>
  </si>
  <si>
    <t>cajá</t>
  </si>
  <si>
    <t>tora</t>
  </si>
  <si>
    <t xml:space="preserve">quebrada em 2.5 m </t>
  </si>
  <si>
    <t>quebrada em 2.5 m</t>
  </si>
  <si>
    <t>BC</t>
  </si>
  <si>
    <t>quebrada em 4.5 m, látex</t>
  </si>
  <si>
    <t>quebrada em 4.5 m, boa de lenha</t>
  </si>
  <si>
    <t>raíz aérea</t>
  </si>
  <si>
    <t>ZYB</t>
  </si>
  <si>
    <t>Maclura tinctoria</t>
  </si>
  <si>
    <t>Celastraceae</t>
  </si>
  <si>
    <t>Cheiloclinium cognatum</t>
  </si>
  <si>
    <t>Nãnsêkjã</t>
  </si>
  <si>
    <t>Astrocaryum indet</t>
  </si>
  <si>
    <t>Totyhapâri</t>
  </si>
  <si>
    <t>Meliaceae</t>
  </si>
  <si>
    <t>Kypaswa</t>
  </si>
  <si>
    <t>AH</t>
  </si>
  <si>
    <t>quebrada em 6.5 m</t>
  </si>
  <si>
    <t>CF</t>
  </si>
  <si>
    <t>YB</t>
  </si>
  <si>
    <t>quebrada em 5.5 m</t>
  </si>
  <si>
    <t xml:space="preserve">quebrada em 5.5 m </t>
  </si>
  <si>
    <t xml:space="preserve">quebrada em 4.5 m </t>
  </si>
  <si>
    <t xml:space="preserve">quebrada em 8.5 m </t>
  </si>
  <si>
    <t>quebrada em 7.5 m, látex</t>
  </si>
  <si>
    <t>YH</t>
  </si>
  <si>
    <t>Pârikjãrãtoo</t>
  </si>
  <si>
    <t>DF</t>
  </si>
  <si>
    <t>quebrada em 3.5 m</t>
  </si>
  <si>
    <t xml:space="preserve">quebrada em 4.5m látex branco </t>
  </si>
  <si>
    <t>Pâripepeti</t>
  </si>
  <si>
    <t>Schizolobium parahyba</t>
  </si>
  <si>
    <t>Guapuruvu</t>
  </si>
  <si>
    <t>Kiãsyri</t>
  </si>
  <si>
    <t>oco na base</t>
  </si>
  <si>
    <t>Kritirãsâ</t>
  </si>
  <si>
    <t>Pârikârãtâ</t>
  </si>
  <si>
    <t xml:space="preserve">quebrada em 6.5 m  </t>
  </si>
  <si>
    <t>quebrada em 10.5 m</t>
  </si>
  <si>
    <t>Clarisia ilicifolia</t>
  </si>
  <si>
    <t>CFH</t>
  </si>
  <si>
    <t>´</t>
  </si>
  <si>
    <t>FH</t>
  </si>
  <si>
    <t>Oenocarpus bacaba</t>
  </si>
  <si>
    <t xml:space="preserve">parceiro do pêêjâ, fruto maior  </t>
  </si>
  <si>
    <t>Kiãrãtôa</t>
  </si>
  <si>
    <t>CQ</t>
  </si>
  <si>
    <t>quebrada em 4.5 m</t>
  </si>
  <si>
    <t>CE</t>
  </si>
  <si>
    <t>quebrada em 3.5m, látex</t>
  </si>
  <si>
    <t>EB</t>
  </si>
  <si>
    <t>quebrada em  4.5 m</t>
  </si>
  <si>
    <t>Pjokintã</t>
  </si>
  <si>
    <t>FQ</t>
  </si>
  <si>
    <t>quebrada em 3.5 m, látex</t>
  </si>
  <si>
    <t>EF</t>
  </si>
  <si>
    <t>Eugenia indet</t>
  </si>
  <si>
    <t>Pârakrippâri</t>
  </si>
  <si>
    <t>Sôtĩrãpâri</t>
  </si>
  <si>
    <t>Garcinia macrophylla</t>
  </si>
  <si>
    <t>Nectandra pulverulenta</t>
  </si>
  <si>
    <t>Protium decorum</t>
  </si>
  <si>
    <t>Ocotea scabrella</t>
  </si>
  <si>
    <t xml:space="preserve">Jacaranda copaia </t>
  </si>
  <si>
    <t>Lecythidaceae</t>
  </si>
  <si>
    <t>Myrcia sp1</t>
  </si>
  <si>
    <t>Myrcia sp2</t>
  </si>
  <si>
    <t>Theobroma speciosum</t>
  </si>
  <si>
    <t xml:space="preserve">Quararibea guianensis </t>
  </si>
  <si>
    <t xml:space="preserve">Perebea mollis </t>
  </si>
  <si>
    <t>Pourouma digitata</t>
  </si>
  <si>
    <t>Sorocea klotzschiana</t>
  </si>
  <si>
    <t>Leptobalanus apetalus</t>
  </si>
  <si>
    <t>Brosimum guianense</t>
  </si>
  <si>
    <t>Protium altissimum</t>
  </si>
  <si>
    <t>Couepia guianensis</t>
  </si>
  <si>
    <t>Ulmaceae</t>
  </si>
  <si>
    <t>Ampelocera edentula</t>
  </si>
  <si>
    <t>Lecythis lurida</t>
  </si>
  <si>
    <t>Senegalia polyphylla</t>
  </si>
  <si>
    <t>D.Cardoso 6087</t>
  </si>
  <si>
    <t>D.Cardoso 6088</t>
  </si>
  <si>
    <t>D.Cardoso 6089</t>
  </si>
  <si>
    <t>D.Cardoso 6090</t>
  </si>
  <si>
    <t>D.Cardoso 6091</t>
  </si>
  <si>
    <t>D.Cardoso 6092</t>
  </si>
  <si>
    <t>D.Cardoso 6093</t>
  </si>
  <si>
    <t>D.Cardoso 6094</t>
  </si>
  <si>
    <t>D.Cardoso 6095</t>
  </si>
  <si>
    <t>D.Cardoso 6096</t>
  </si>
  <si>
    <t>D.Cardoso 6097</t>
  </si>
  <si>
    <t>D.Cardoso 6098</t>
  </si>
  <si>
    <t>D.Cardoso 6099</t>
  </si>
  <si>
    <t>D.Cardoso 6100</t>
  </si>
  <si>
    <t>D.Cardoso 6101</t>
  </si>
  <si>
    <t>D.Cardoso 6102</t>
  </si>
  <si>
    <t>D.Cardoso 6103</t>
  </si>
  <si>
    <t>D.Cardoso 6104</t>
  </si>
  <si>
    <t>D.Cardoso 6105</t>
  </si>
  <si>
    <t>D.Cardoso 6106</t>
  </si>
  <si>
    <t>D.Cardoso 6107</t>
  </si>
  <si>
    <t>D.Cardoso 6108</t>
  </si>
  <si>
    <t>D.Cardoso 6109</t>
  </si>
  <si>
    <t>D.Cardoso 6110</t>
  </si>
  <si>
    <t>D.Cardoso 6111</t>
  </si>
  <si>
    <t>D.Cardoso 6112</t>
  </si>
  <si>
    <t>D.Cardoso 6113</t>
  </si>
  <si>
    <t>D.Cardoso 6114</t>
  </si>
  <si>
    <t>D.Cardoso 6115</t>
  </si>
  <si>
    <t>D.Cardoso 6116</t>
  </si>
  <si>
    <t>D.Cardoso 6117</t>
  </si>
  <si>
    <t>D.Cardoso 6118</t>
  </si>
  <si>
    <t>no</t>
  </si>
  <si>
    <t>Nãnpôpâri</t>
  </si>
  <si>
    <t>Nãnpôôpâri</t>
  </si>
  <si>
    <t>D.Cardoso 6119</t>
  </si>
  <si>
    <t>D.Cardoso 6120</t>
  </si>
  <si>
    <t>D.Cardoso 6121</t>
  </si>
  <si>
    <t>D.Cardoso 6122</t>
  </si>
  <si>
    <t>D.Cardoso 6123</t>
  </si>
  <si>
    <t>D.Cardoso 6124</t>
  </si>
  <si>
    <t>Pourouma guianensis</t>
  </si>
  <si>
    <t>Kritasâpâri</t>
  </si>
  <si>
    <t>Jopajĩtupâri</t>
  </si>
  <si>
    <t>Jõnkô</t>
  </si>
  <si>
    <t>Kjêkâsôrã</t>
  </si>
  <si>
    <t>Kâânsi</t>
  </si>
  <si>
    <t>Sapakâja</t>
  </si>
  <si>
    <t>Pônkjên</t>
  </si>
  <si>
    <t>Kwakjãpâri</t>
  </si>
  <si>
    <t>Rẽntakiãpâri</t>
  </si>
  <si>
    <t>Pârikârãnprâ</t>
  </si>
  <si>
    <t>Pârikârãkjã</t>
  </si>
  <si>
    <t>Pâripo</t>
  </si>
  <si>
    <t>Pâritâta</t>
  </si>
  <si>
    <t>Tesipôhapâri</t>
  </si>
  <si>
    <t>Sôtâta</t>
  </si>
  <si>
    <t>Sôôjã</t>
  </si>
  <si>
    <t>Sônte</t>
  </si>
  <si>
    <t>Sôjĩja</t>
  </si>
  <si>
    <t>Pykan</t>
  </si>
  <si>
    <t>Siparuna krukovii</t>
  </si>
  <si>
    <t>Pjôtepâri</t>
  </si>
  <si>
    <t>Pjôteasâpâri</t>
  </si>
  <si>
    <t>Pârankrâ</t>
  </si>
  <si>
    <t>Jâmãsâtõ - parente do Jâmãsâ</t>
  </si>
  <si>
    <t>Pârikjôkjô kânpo</t>
  </si>
  <si>
    <t>Kârãnpjâhakriti</t>
  </si>
  <si>
    <t>Kârãkjãhapâri</t>
  </si>
  <si>
    <t>Kjakkântomâ</t>
  </si>
  <si>
    <t>Protium indet</t>
  </si>
  <si>
    <t>Brosimum indet</t>
  </si>
  <si>
    <t>Xylopia indet</t>
  </si>
  <si>
    <t>Piptadenia indet</t>
  </si>
  <si>
    <t>Pĩpjasã</t>
  </si>
  <si>
    <t>Hymenaea courbaril</t>
  </si>
  <si>
    <t>Euphorbiaceae</t>
  </si>
  <si>
    <t>Rutaceae</t>
  </si>
  <si>
    <t>Vatairea fusca</t>
  </si>
  <si>
    <t>Pênsâitipâri</t>
  </si>
  <si>
    <t xml:space="preserve">Ormosia coarctata </t>
  </si>
  <si>
    <t>Zanthoxylum rhoifolium</t>
  </si>
  <si>
    <t>Bauhinia indet</t>
  </si>
  <si>
    <t>D.Cardoso 6125</t>
  </si>
  <si>
    <t>D.Cardoso 6126</t>
  </si>
  <si>
    <t>D.Cardoso 6127</t>
  </si>
  <si>
    <t>D.Cardoso 6128</t>
  </si>
  <si>
    <t>D.Cardoso 6129</t>
  </si>
  <si>
    <t>D.Cardoso 6130</t>
  </si>
  <si>
    <t>D.Cardoso 6131</t>
  </si>
  <si>
    <t>D.Cardoso 6132</t>
  </si>
  <si>
    <t>D.Cardoso 6133</t>
  </si>
  <si>
    <t>D.Cardoso 6134</t>
  </si>
  <si>
    <t>D.Cardoso 6135</t>
  </si>
  <si>
    <t>D.Cardoso 6136</t>
  </si>
  <si>
    <t>D.Cardoso 6137</t>
  </si>
  <si>
    <t>D.Cardoso 6138</t>
  </si>
  <si>
    <t>D.Cardoso 6139</t>
  </si>
  <si>
    <t>D.Cardoso 6140</t>
  </si>
  <si>
    <t>D.Cardoso 6141</t>
  </si>
  <si>
    <t>D.Cardoso 6142</t>
  </si>
  <si>
    <t>D.Cardoso 6143</t>
  </si>
  <si>
    <t>D.Cardoso 6144</t>
  </si>
  <si>
    <t>D.Cardoso 6145</t>
  </si>
  <si>
    <t>D.Cardoso 6146</t>
  </si>
  <si>
    <t>D.Cardoso 6147</t>
  </si>
  <si>
    <t>D.Cardoso 6148</t>
  </si>
  <si>
    <t>D.Cardoso 6149</t>
  </si>
  <si>
    <t>D.Cardoso 6150</t>
  </si>
  <si>
    <t>D.Cardoso 6151</t>
  </si>
  <si>
    <t>D.Cardoso 6152</t>
  </si>
  <si>
    <t>D.Cardoso 6153</t>
  </si>
  <si>
    <t>D.Cardoso 6154</t>
  </si>
  <si>
    <t>D.Cardoso 6155</t>
  </si>
  <si>
    <t>D.Cardoso 6156</t>
  </si>
  <si>
    <t>D.Cardoso 6157</t>
  </si>
  <si>
    <t>D.Cardoso 6158</t>
  </si>
  <si>
    <t>D.Cardoso 6159</t>
  </si>
  <si>
    <t>D.Cardoso 6160</t>
  </si>
  <si>
    <t>D.Cardoso 6161</t>
  </si>
  <si>
    <t>D.Cardoso 6162</t>
  </si>
  <si>
    <t>D.Cardoso 6163</t>
  </si>
  <si>
    <t>Pseudomedia brosimifolia</t>
  </si>
  <si>
    <t>D.Cardoso 6164</t>
  </si>
  <si>
    <t>D.Cardoso 6165</t>
  </si>
  <si>
    <t>D.Cardoso 6166</t>
  </si>
  <si>
    <t>D.Cardoso 6167</t>
  </si>
  <si>
    <t>D.Cardoso 6168</t>
  </si>
  <si>
    <t>D.Cardoso 6169</t>
  </si>
  <si>
    <t>D.Cardoso 6170</t>
  </si>
  <si>
    <t>Kâtetetapâri</t>
  </si>
  <si>
    <t>Pârikjãrãnprâ</t>
  </si>
  <si>
    <t>Ocotea indet</t>
  </si>
  <si>
    <t>D.Cardoso 6171</t>
  </si>
  <si>
    <t>D.Cardoso 6172</t>
  </si>
  <si>
    <t>D.Cardoso 6173</t>
  </si>
  <si>
    <t>D.Cardoso 6174</t>
  </si>
  <si>
    <t>D.Cardoso 6175</t>
  </si>
  <si>
    <t>D.Cardoso 6176</t>
  </si>
  <si>
    <t>D.Cardoso 6177</t>
  </si>
  <si>
    <t>Pâtijônsê</t>
  </si>
  <si>
    <t>Pâtijĩnkjati</t>
  </si>
  <si>
    <t>Sĩrãpâri</t>
  </si>
  <si>
    <t>D.Cardoso 6178</t>
  </si>
  <si>
    <t>D.Cardoso 6179</t>
  </si>
  <si>
    <t>D.Cardoso 6180</t>
  </si>
  <si>
    <t>D.Cardoso 6181</t>
  </si>
  <si>
    <t>D.Cardoso 6182</t>
  </si>
  <si>
    <t>D.Cardoso 6183</t>
  </si>
  <si>
    <t>Height | Pjâ</t>
  </si>
  <si>
    <t>Coletado | Hoppjõn</t>
  </si>
  <si>
    <t>D | Wy</t>
  </si>
  <si>
    <t>POM | Mãmãn ni</t>
  </si>
  <si>
    <t>Espécie Panará | Panará pẽẽ jamã issi</t>
  </si>
  <si>
    <t>Flag1 | Hokjyha pâri hãkja</t>
  </si>
  <si>
    <t>Nome vernacular | Issi pẽpẽjamã</t>
  </si>
  <si>
    <t>Voucher | Soton pjõn hã hokjy</t>
  </si>
  <si>
    <t xml:space="preserve">T1 | Rêtâ kukâra krepãã sââ </t>
  </si>
  <si>
    <t>New Tag No | Pjãnkâproo pãã hã hokjy</t>
  </si>
  <si>
    <t>New Stem Grouping | Pârinkrâ hã hokjy</t>
  </si>
  <si>
    <t>Plotcode | Kypa kukâri: SKR01</t>
  </si>
  <si>
    <t>Plot Name | Issi rêtâ kukâri: Sôkãrãsan</t>
  </si>
  <si>
    <t>Date | Haka: 26/11/2014</t>
  </si>
  <si>
    <t>Team | Sâpêrãtê: Korãkoko Panará, Sêwâ Panará, Kâsôa Panará, Kjãrãsâ Kaiabi Panará, Kypawy Panará, Kuupêri Panará, Kjattya Alexandre Quinet, Kôpyn Bruno Coutinho, Pin Antonio Ramillys, Pysy Rafael de Araújo, Sakre Giulia Ottino &amp; Kâpyti Domingos Cardoso</t>
  </si>
  <si>
    <t>Genipa americana</t>
  </si>
  <si>
    <t>envira, também conhecida como Ikâ</t>
  </si>
  <si>
    <t>Calophyllum brasiliense</t>
  </si>
  <si>
    <t>Spondias mobim</t>
  </si>
  <si>
    <t>Handroanthus barbatus</t>
  </si>
  <si>
    <t>Cecropia obtusa</t>
  </si>
  <si>
    <t>Guarea convergens</t>
  </si>
  <si>
    <t>Zanthoxylum caribaeum</t>
  </si>
  <si>
    <t>Pachira indet</t>
  </si>
  <si>
    <t>Tõsipâri</t>
  </si>
  <si>
    <t>Pêjââpâri</t>
  </si>
  <si>
    <t>Nãmpê</t>
  </si>
  <si>
    <t>Akjôpâri</t>
  </si>
  <si>
    <t xml:space="preserve">Jãmasâmpepâri </t>
  </si>
  <si>
    <t>Jãmasâ asâ pâri</t>
  </si>
  <si>
    <t>Jacaratia spinosa</t>
  </si>
  <si>
    <t>Kâtâtakriti</t>
  </si>
  <si>
    <t>Kwakriti</t>
  </si>
  <si>
    <t>Patikâpâri</t>
  </si>
  <si>
    <t>Kjãrãtora</t>
  </si>
  <si>
    <t>Tepôma</t>
  </si>
  <si>
    <t>Pjũkĩpâri</t>
  </si>
  <si>
    <t>Kooti</t>
  </si>
  <si>
    <t>Apjãpâri</t>
  </si>
  <si>
    <t>Kjekâmpoa</t>
  </si>
  <si>
    <t>Euterpe precatoria</t>
  </si>
  <si>
    <t>Leptolobium araguaiense</t>
  </si>
  <si>
    <t>Inga heterophylla</t>
  </si>
  <si>
    <t>Pterocarpus rohrii</t>
  </si>
  <si>
    <t>Pseudalbizzia niopoides</t>
  </si>
  <si>
    <t>Swartzia laurifolia</t>
  </si>
  <si>
    <t>Andira vermifuga</t>
  </si>
  <si>
    <t>Inga edulis</t>
  </si>
  <si>
    <t>Amaioua guianensis</t>
  </si>
  <si>
    <t>Inga nobilis</t>
  </si>
  <si>
    <t>Tachigali setifera</t>
  </si>
  <si>
    <t>cipó com 25cm de CAP ao redor</t>
  </si>
  <si>
    <t>quebrado em 2 m</t>
  </si>
  <si>
    <t>D.Cardoso 6184</t>
  </si>
  <si>
    <t>Attalea maripa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</si>
</sst>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sz val="10"/>
      <color theme="1"/>
      <name val="Calibri Light"/>
      <family val="2"/>
    </font>
    <font>
      <sz val="10"/>
      <color theme="0"/>
      <name val="Calibri Light"/>
      <family val="2"/>
    </font>
    <font>
      <sz val="10"/>
      <color rgb="FF00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/>
    </xf>
    <xf numFmtId="0" fontId="2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right" wrapText="1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horizontal="right" wrapText="1"/>
    </xf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left"/>
    </xf>
    <xf numFmtId="0" fontId="3" fillId="0" borderId="1" xfId="0" applyFont="1" applyBorder="1"/>
    <xf numFmtId="0" fontId="1" fillId="4" borderId="1" xfId="0" applyFont="1" applyFill="1" applyBorder="1"/>
    <xf numFmtId="0" fontId="3" fillId="4" borderId="1" xfId="0" applyFont="1" applyFill="1" applyBorder="1"/>
    <xf numFmtId="0" fontId="1" fillId="4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3"/>
  <sheetViews>
    <sheetView tabSelected="1" topLeftCell="B1" zoomScale="260" workbookViewId="0">
      <pane ySplit="2" topLeftCell="A392" activePane="bottomLeft" state="frozen"/>
      <selection pane="bottomLeft" activeCell="I495" sqref="I495"/>
    </sheetView>
  </sheetViews>
  <sheetFormatPr baseColWidth="10" defaultColWidth="14.5" defaultRowHeight="15" customHeight="1" x14ac:dyDescent="0.2"/>
  <cols>
    <col min="1" max="1" width="11.5" style="1" customWidth="1"/>
    <col min="2" max="2" width="16.83203125" style="1" bestFit="1" customWidth="1"/>
    <col min="3" max="3" width="10.1640625" style="1" customWidth="1"/>
    <col min="4" max="4" width="5.1640625" style="1" customWidth="1"/>
    <col min="5" max="5" width="4" style="1" customWidth="1"/>
    <col min="6" max="6" width="12.5" style="1" customWidth="1"/>
    <col min="7" max="7" width="24.5" style="1" customWidth="1"/>
    <col min="8" max="8" width="26.6640625" style="1" customWidth="1"/>
    <col min="9" max="9" width="18" style="1" customWidth="1"/>
    <col min="10" max="10" width="10.6640625" style="1" customWidth="1"/>
    <col min="11" max="11" width="15.33203125" style="1" bestFit="1" customWidth="1"/>
    <col min="12" max="12" width="11.6640625" style="1" customWidth="1"/>
    <col min="13" max="13" width="11.6640625" style="1" bestFit="1" customWidth="1"/>
    <col min="14" max="14" width="22.33203125" style="1" customWidth="1"/>
    <col min="15" max="15" width="6.5" style="1" customWidth="1"/>
    <col min="16" max="16" width="17" style="1" bestFit="1" customWidth="1"/>
    <col min="17" max="17" width="29.5" style="1" customWidth="1"/>
    <col min="18" max="18" width="34.1640625" style="1" customWidth="1"/>
    <col min="19" max="19" width="15.83203125" style="1" customWidth="1"/>
    <col min="20" max="20" width="12.83203125" style="1" customWidth="1"/>
    <col min="21" max="16384" width="14.5" style="1"/>
  </cols>
  <sheetData>
    <row r="1" spans="1:20" s="5" customFormat="1" ht="14" x14ac:dyDescent="0.2">
      <c r="A1" s="3" t="s">
        <v>362</v>
      </c>
      <c r="B1" s="3" t="s">
        <v>363</v>
      </c>
      <c r="C1" s="18"/>
      <c r="D1" s="19"/>
      <c r="E1" s="19"/>
      <c r="F1" s="19"/>
      <c r="G1" s="19"/>
      <c r="H1" s="19"/>
      <c r="I1" s="4"/>
      <c r="J1" s="18" t="s">
        <v>364</v>
      </c>
      <c r="K1" s="19"/>
      <c r="L1" s="4" t="s">
        <v>365</v>
      </c>
      <c r="M1" s="4"/>
      <c r="N1" s="4"/>
      <c r="O1" s="4"/>
      <c r="P1" s="4"/>
      <c r="Q1" s="4"/>
      <c r="R1" s="4"/>
      <c r="S1" s="4"/>
      <c r="T1" s="4"/>
    </row>
    <row r="2" spans="1:20" s="5" customFormat="1" ht="19.5" customHeight="1" x14ac:dyDescent="0.2">
      <c r="A2" s="4" t="s">
        <v>360</v>
      </c>
      <c r="B2" s="4" t="s">
        <v>361</v>
      </c>
      <c r="C2" s="4" t="s">
        <v>359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355</v>
      </c>
      <c r="I2" s="4" t="s">
        <v>4</v>
      </c>
      <c r="J2" s="4" t="s">
        <v>353</v>
      </c>
      <c r="K2" s="4" t="s">
        <v>354</v>
      </c>
      <c r="L2" s="4" t="s">
        <v>356</v>
      </c>
      <c r="M2" s="4" t="s">
        <v>351</v>
      </c>
      <c r="N2" s="4" t="s">
        <v>358</v>
      </c>
      <c r="O2" s="4" t="s">
        <v>6</v>
      </c>
      <c r="P2" s="4" t="s">
        <v>352</v>
      </c>
      <c r="Q2" s="4" t="s">
        <v>7</v>
      </c>
      <c r="R2" s="4" t="s">
        <v>357</v>
      </c>
      <c r="S2" s="4" t="s">
        <v>5</v>
      </c>
      <c r="T2" s="4" t="s">
        <v>8</v>
      </c>
    </row>
    <row r="3" spans="1:20" ht="14" x14ac:dyDescent="0.2">
      <c r="A3" s="6">
        <v>1</v>
      </c>
      <c r="C3" s="1">
        <v>1</v>
      </c>
      <c r="D3" s="7">
        <v>3</v>
      </c>
      <c r="E3" s="7">
        <v>0.5</v>
      </c>
      <c r="F3" s="1" t="s">
        <v>86</v>
      </c>
      <c r="G3" s="1" t="s">
        <v>197</v>
      </c>
      <c r="H3" s="8" t="s">
        <v>250</v>
      </c>
      <c r="J3" s="9">
        <f t="shared" ref="J3:J17" si="0">S3</f>
        <v>639.79999999999995</v>
      </c>
      <c r="K3" s="1">
        <v>2800</v>
      </c>
      <c r="L3" s="1" t="s">
        <v>10</v>
      </c>
      <c r="N3" s="1" t="s">
        <v>204</v>
      </c>
      <c r="P3" s="1" t="s">
        <v>234</v>
      </c>
      <c r="S3" s="1">
        <f>ROUND(T3/PI(), 2) * 10</f>
        <v>639.79999999999995</v>
      </c>
      <c r="T3" s="7">
        <v>201</v>
      </c>
    </row>
    <row r="4" spans="1:20" ht="14" x14ac:dyDescent="0.2">
      <c r="A4" s="6">
        <v>2</v>
      </c>
      <c r="C4" s="1">
        <v>1</v>
      </c>
      <c r="D4" s="7">
        <v>3.5</v>
      </c>
      <c r="E4" s="7">
        <v>2</v>
      </c>
      <c r="F4" s="1" t="s">
        <v>12</v>
      </c>
      <c r="G4" s="1" t="s">
        <v>183</v>
      </c>
      <c r="H4" s="1" t="s">
        <v>380</v>
      </c>
      <c r="J4" s="9">
        <f t="shared" si="0"/>
        <v>131.80000000000001</v>
      </c>
      <c r="K4" s="1">
        <v>1300</v>
      </c>
      <c r="L4" s="1" t="s">
        <v>10</v>
      </c>
      <c r="N4" s="1" t="s">
        <v>219</v>
      </c>
      <c r="P4" s="1" t="s">
        <v>234</v>
      </c>
      <c r="Q4" s="1" t="s">
        <v>14</v>
      </c>
      <c r="S4" s="1">
        <f>ROUND(T4/PI(), 2) * 10</f>
        <v>131.80000000000001</v>
      </c>
      <c r="T4" s="7">
        <v>41.4</v>
      </c>
    </row>
    <row r="5" spans="1:20" ht="14" x14ac:dyDescent="0.2">
      <c r="A5" s="6">
        <v>3</v>
      </c>
      <c r="C5" s="1">
        <v>1</v>
      </c>
      <c r="D5" s="7">
        <v>1.5</v>
      </c>
      <c r="E5" s="7">
        <v>8.5</v>
      </c>
      <c r="F5" s="1" t="s">
        <v>86</v>
      </c>
      <c r="G5" s="1" t="s">
        <v>16</v>
      </c>
      <c r="H5" s="1" t="s">
        <v>17</v>
      </c>
      <c r="J5" s="9">
        <f t="shared" si="0"/>
        <v>267.39999999999998</v>
      </c>
      <c r="K5" s="1">
        <v>1300</v>
      </c>
      <c r="L5" s="1" t="s">
        <v>10</v>
      </c>
      <c r="N5" s="14" t="s">
        <v>325</v>
      </c>
      <c r="P5" s="1" t="s">
        <v>234</v>
      </c>
      <c r="Q5" s="1" t="s">
        <v>18</v>
      </c>
      <c r="S5" s="1">
        <f>ROUND(T5/PI(), 2) * 10</f>
        <v>267.39999999999998</v>
      </c>
      <c r="T5" s="7">
        <v>84</v>
      </c>
    </row>
    <row r="6" spans="1:20" ht="14" x14ac:dyDescent="0.2">
      <c r="A6" s="6">
        <v>4</v>
      </c>
      <c r="C6" s="1">
        <v>1</v>
      </c>
      <c r="D6" s="7">
        <v>7</v>
      </c>
      <c r="E6" s="7">
        <v>8.5</v>
      </c>
      <c r="F6" s="1" t="s">
        <v>12</v>
      </c>
      <c r="G6" s="1" t="s">
        <v>183</v>
      </c>
      <c r="H6" s="1" t="s">
        <v>380</v>
      </c>
      <c r="J6" s="9">
        <f t="shared" si="0"/>
        <v>140.1</v>
      </c>
      <c r="K6" s="1">
        <v>1300</v>
      </c>
      <c r="L6" s="1" t="s">
        <v>19</v>
      </c>
      <c r="N6" s="1" t="s">
        <v>219</v>
      </c>
      <c r="P6" s="1" t="s">
        <v>234</v>
      </c>
      <c r="Q6" s="1" t="s">
        <v>14</v>
      </c>
      <c r="S6" s="1">
        <f>ROUND(T6/PI(), 2) * 10</f>
        <v>140.1</v>
      </c>
      <c r="T6" s="7">
        <v>44</v>
      </c>
    </row>
    <row r="7" spans="1:20" ht="14" x14ac:dyDescent="0.2">
      <c r="A7" s="6">
        <v>5</v>
      </c>
      <c r="C7" s="1">
        <v>2</v>
      </c>
      <c r="D7" s="7">
        <v>4</v>
      </c>
      <c r="E7" s="7">
        <v>1.8</v>
      </c>
      <c r="F7" s="1" t="s">
        <v>20</v>
      </c>
      <c r="G7" s="1" t="s">
        <v>405</v>
      </c>
      <c r="H7" s="1" t="s">
        <v>47</v>
      </c>
      <c r="J7" s="9">
        <f t="shared" si="0"/>
        <v>156</v>
      </c>
      <c r="K7" s="1">
        <v>1300</v>
      </c>
      <c r="L7" s="1" t="s">
        <v>10</v>
      </c>
      <c r="R7" s="1" t="s">
        <v>21</v>
      </c>
      <c r="S7" s="1">
        <f t="shared" ref="S7:S70" si="1">ROUND(T7/PI(), 2) * 10</f>
        <v>156</v>
      </c>
      <c r="T7" s="2">
        <v>49</v>
      </c>
    </row>
    <row r="8" spans="1:20" ht="14" x14ac:dyDescent="0.2">
      <c r="A8" s="6">
        <v>6</v>
      </c>
      <c r="C8" s="1">
        <v>2</v>
      </c>
      <c r="D8" s="7">
        <v>3.5</v>
      </c>
      <c r="E8" s="7">
        <v>7</v>
      </c>
      <c r="F8" s="1" t="s">
        <v>22</v>
      </c>
      <c r="G8" s="1" t="s">
        <v>324</v>
      </c>
      <c r="H8" s="1" t="s">
        <v>23</v>
      </c>
      <c r="J8" s="9">
        <f t="shared" si="0"/>
        <v>117.8</v>
      </c>
      <c r="K8" s="1">
        <v>1300</v>
      </c>
      <c r="L8" s="1" t="s">
        <v>10</v>
      </c>
      <c r="N8" s="14" t="s">
        <v>327</v>
      </c>
      <c r="P8" s="1" t="s">
        <v>234</v>
      </c>
      <c r="Q8" s="1" t="s">
        <v>24</v>
      </c>
      <c r="S8" s="1">
        <f t="shared" si="1"/>
        <v>117.8</v>
      </c>
      <c r="T8" s="2">
        <v>37</v>
      </c>
    </row>
    <row r="9" spans="1:20" ht="14" x14ac:dyDescent="0.2">
      <c r="A9" s="6">
        <v>7</v>
      </c>
      <c r="C9" s="1">
        <v>2</v>
      </c>
      <c r="D9" s="7">
        <v>4.5</v>
      </c>
      <c r="E9" s="7">
        <v>6.5</v>
      </c>
      <c r="F9" s="1" t="s">
        <v>86</v>
      </c>
      <c r="G9" s="1" t="s">
        <v>197</v>
      </c>
      <c r="H9" s="8" t="s">
        <v>250</v>
      </c>
      <c r="J9" s="9">
        <f t="shared" si="0"/>
        <v>345.7</v>
      </c>
      <c r="K9" s="1">
        <v>1300</v>
      </c>
      <c r="L9" s="1" t="s">
        <v>25</v>
      </c>
      <c r="N9" s="1" t="s">
        <v>204</v>
      </c>
      <c r="P9" s="1" t="s">
        <v>234</v>
      </c>
      <c r="S9" s="1">
        <f t="shared" si="1"/>
        <v>345.7</v>
      </c>
      <c r="T9" s="7">
        <v>108.6</v>
      </c>
    </row>
    <row r="10" spans="1:20" ht="14" x14ac:dyDescent="0.2">
      <c r="A10" s="6">
        <v>8</v>
      </c>
      <c r="C10" s="1">
        <v>2</v>
      </c>
      <c r="D10" s="7">
        <v>1.5</v>
      </c>
      <c r="E10" s="7">
        <v>8.5</v>
      </c>
      <c r="F10" s="1" t="s">
        <v>12</v>
      </c>
      <c r="G10" s="1" t="s">
        <v>183</v>
      </c>
      <c r="H10" s="1" t="s">
        <v>380</v>
      </c>
      <c r="J10" s="9">
        <f t="shared" si="0"/>
        <v>127.30000000000001</v>
      </c>
      <c r="K10" s="1">
        <v>1300</v>
      </c>
      <c r="L10" s="1" t="s">
        <v>10</v>
      </c>
      <c r="N10" s="1" t="s">
        <v>219</v>
      </c>
      <c r="P10" s="1" t="s">
        <v>234</v>
      </c>
      <c r="Q10" s="1" t="s">
        <v>14</v>
      </c>
      <c r="S10" s="1">
        <f t="shared" si="1"/>
        <v>127.30000000000001</v>
      </c>
      <c r="T10" s="7">
        <v>40</v>
      </c>
    </row>
    <row r="11" spans="1:20" ht="14" x14ac:dyDescent="0.2">
      <c r="A11" s="6">
        <v>9</v>
      </c>
      <c r="C11" s="1">
        <v>2</v>
      </c>
      <c r="D11" s="7">
        <v>3</v>
      </c>
      <c r="E11" s="7">
        <v>10</v>
      </c>
      <c r="F11" s="1" t="s">
        <v>15</v>
      </c>
      <c r="G11" s="1" t="s">
        <v>16</v>
      </c>
      <c r="H11" s="1" t="s">
        <v>268</v>
      </c>
      <c r="J11" s="9">
        <f t="shared" si="0"/>
        <v>665.3</v>
      </c>
      <c r="K11" s="1">
        <v>4000</v>
      </c>
      <c r="L11" s="1" t="s">
        <v>28</v>
      </c>
      <c r="Q11" s="1" t="s">
        <v>29</v>
      </c>
      <c r="S11" s="1">
        <f t="shared" si="1"/>
        <v>665.3</v>
      </c>
      <c r="T11" s="7">
        <v>209</v>
      </c>
    </row>
    <row r="12" spans="1:20" ht="14" x14ac:dyDescent="0.2">
      <c r="A12" s="6">
        <v>10</v>
      </c>
      <c r="C12" s="1">
        <v>2</v>
      </c>
      <c r="D12" s="7">
        <v>8.1999999999999993</v>
      </c>
      <c r="E12" s="7">
        <v>10</v>
      </c>
      <c r="F12" s="1" t="s">
        <v>22</v>
      </c>
      <c r="G12" s="1" t="s">
        <v>130</v>
      </c>
      <c r="H12" s="1" t="s">
        <v>62</v>
      </c>
      <c r="J12" s="9">
        <f t="shared" si="0"/>
        <v>124.1</v>
      </c>
      <c r="K12" s="1">
        <v>1300</v>
      </c>
      <c r="L12" s="1" t="s">
        <v>10</v>
      </c>
      <c r="N12" s="14" t="s">
        <v>322</v>
      </c>
      <c r="P12" s="1" t="s">
        <v>234</v>
      </c>
      <c r="Q12" s="1" t="s">
        <v>29</v>
      </c>
      <c r="S12" s="1">
        <f t="shared" si="1"/>
        <v>124.1</v>
      </c>
      <c r="T12" s="2">
        <v>39</v>
      </c>
    </row>
    <row r="13" spans="1:20" ht="14" x14ac:dyDescent="0.2">
      <c r="A13" s="6">
        <v>11</v>
      </c>
      <c r="C13" s="1">
        <v>3</v>
      </c>
      <c r="D13" s="7">
        <v>0</v>
      </c>
      <c r="E13" s="7">
        <v>8.5</v>
      </c>
      <c r="F13" s="1" t="s">
        <v>22</v>
      </c>
      <c r="G13" s="1" t="s">
        <v>324</v>
      </c>
      <c r="H13" s="1" t="s">
        <v>23</v>
      </c>
      <c r="J13" s="9">
        <f t="shared" si="0"/>
        <v>192.60000000000002</v>
      </c>
      <c r="K13" s="1">
        <v>1300</v>
      </c>
      <c r="L13" s="1" t="s">
        <v>10</v>
      </c>
      <c r="N13" s="14" t="s">
        <v>327</v>
      </c>
      <c r="P13" s="1" t="s">
        <v>234</v>
      </c>
      <c r="Q13" s="1" t="s">
        <v>31</v>
      </c>
      <c r="S13" s="1">
        <f t="shared" si="1"/>
        <v>192.60000000000002</v>
      </c>
      <c r="T13" s="7">
        <v>60.5</v>
      </c>
    </row>
    <row r="14" spans="1:20" ht="14" x14ac:dyDescent="0.2">
      <c r="A14" s="6">
        <v>12</v>
      </c>
      <c r="C14" s="1">
        <v>3</v>
      </c>
      <c r="D14" s="7">
        <v>1</v>
      </c>
      <c r="E14" s="7">
        <v>7.5</v>
      </c>
      <c r="F14" s="1" t="s">
        <v>22</v>
      </c>
      <c r="G14" s="1" t="s">
        <v>195</v>
      </c>
      <c r="H14" s="1" t="s">
        <v>30</v>
      </c>
      <c r="J14" s="9">
        <f t="shared" si="0"/>
        <v>100.60000000000001</v>
      </c>
      <c r="K14" s="1">
        <v>1300</v>
      </c>
      <c r="L14" s="1" t="s">
        <v>19</v>
      </c>
      <c r="N14" s="1" t="s">
        <v>202</v>
      </c>
      <c r="P14" s="1" t="s">
        <v>32</v>
      </c>
      <c r="Q14" s="1" t="s">
        <v>33</v>
      </c>
      <c r="S14" s="1">
        <f t="shared" si="1"/>
        <v>100.60000000000001</v>
      </c>
      <c r="T14" s="7">
        <v>31.6</v>
      </c>
    </row>
    <row r="15" spans="1:20" ht="14" x14ac:dyDescent="0.2">
      <c r="A15" s="6">
        <v>15</v>
      </c>
      <c r="C15" s="1">
        <v>4</v>
      </c>
      <c r="D15" s="7">
        <v>4.5</v>
      </c>
      <c r="E15" s="7">
        <v>2</v>
      </c>
      <c r="F15" s="1" t="s">
        <v>9</v>
      </c>
      <c r="G15" s="1" t="s">
        <v>368</v>
      </c>
      <c r="H15" s="8" t="s">
        <v>384</v>
      </c>
      <c r="J15" s="9">
        <f t="shared" si="0"/>
        <v>205.3</v>
      </c>
      <c r="K15" s="1">
        <v>1300</v>
      </c>
      <c r="L15" s="1" t="s">
        <v>34</v>
      </c>
      <c r="N15" s="1" t="s">
        <v>203</v>
      </c>
      <c r="P15" s="1" t="s">
        <v>32</v>
      </c>
      <c r="Q15" s="1" t="s">
        <v>35</v>
      </c>
      <c r="S15" s="1">
        <f t="shared" si="1"/>
        <v>205.3</v>
      </c>
      <c r="T15" s="7">
        <v>64.5</v>
      </c>
    </row>
    <row r="16" spans="1:20" ht="14" x14ac:dyDescent="0.2">
      <c r="A16" s="6">
        <v>16</v>
      </c>
      <c r="C16" s="1">
        <v>4</v>
      </c>
      <c r="D16" s="7">
        <v>7.5</v>
      </c>
      <c r="E16" s="7">
        <v>1</v>
      </c>
      <c r="F16" s="1" t="s">
        <v>114</v>
      </c>
      <c r="G16" s="1" t="s">
        <v>185</v>
      </c>
      <c r="H16" s="1" t="s">
        <v>36</v>
      </c>
      <c r="J16" s="9">
        <f t="shared" si="0"/>
        <v>303.29999999999995</v>
      </c>
      <c r="K16" s="1">
        <v>1300</v>
      </c>
      <c r="L16" s="1" t="s">
        <v>34</v>
      </c>
      <c r="N16" s="1" t="s">
        <v>216</v>
      </c>
      <c r="P16" s="1" t="s">
        <v>234</v>
      </c>
      <c r="S16" s="1">
        <f t="shared" si="1"/>
        <v>303.29999999999995</v>
      </c>
      <c r="T16" s="7">
        <v>95.3</v>
      </c>
    </row>
    <row r="17" spans="1:20" ht="14" x14ac:dyDescent="0.2">
      <c r="A17" s="6">
        <v>17</v>
      </c>
      <c r="C17" s="1">
        <v>4</v>
      </c>
      <c r="D17" s="7">
        <v>6.5</v>
      </c>
      <c r="E17" s="7">
        <v>0.8</v>
      </c>
      <c r="F17" s="1" t="s">
        <v>20</v>
      </c>
      <c r="G17" s="1" t="s">
        <v>391</v>
      </c>
      <c r="H17" s="1" t="s">
        <v>376</v>
      </c>
      <c r="J17" s="9">
        <f t="shared" si="0"/>
        <v>100.60000000000001</v>
      </c>
      <c r="K17" s="1">
        <v>1300</v>
      </c>
      <c r="L17" s="1" t="s">
        <v>10</v>
      </c>
      <c r="Q17" s="1" t="s">
        <v>26</v>
      </c>
      <c r="S17" s="1">
        <f t="shared" si="1"/>
        <v>100.60000000000001</v>
      </c>
      <c r="T17" s="2">
        <v>31.6</v>
      </c>
    </row>
    <row r="18" spans="1:20" ht="14" x14ac:dyDescent="0.2">
      <c r="A18" s="6">
        <v>18</v>
      </c>
      <c r="C18" s="1">
        <v>4</v>
      </c>
      <c r="D18" s="7">
        <v>4.5</v>
      </c>
      <c r="E18" s="7">
        <v>7.5</v>
      </c>
      <c r="F18" s="1" t="s">
        <v>86</v>
      </c>
      <c r="G18" s="1" t="s">
        <v>197</v>
      </c>
      <c r="H18" s="8" t="s">
        <v>250</v>
      </c>
      <c r="J18" s="9">
        <f t="shared" ref="J18:J75" si="2">S18</f>
        <v>280.39999999999998</v>
      </c>
      <c r="K18" s="1">
        <v>1300</v>
      </c>
      <c r="L18" s="1" t="s">
        <v>10</v>
      </c>
      <c r="N18" s="1" t="s">
        <v>204</v>
      </c>
      <c r="P18" s="1" t="s">
        <v>32</v>
      </c>
      <c r="S18" s="1">
        <f t="shared" si="1"/>
        <v>280.39999999999998</v>
      </c>
      <c r="T18" s="7">
        <v>88.1</v>
      </c>
    </row>
    <row r="19" spans="1:20" ht="14" x14ac:dyDescent="0.2">
      <c r="A19" s="6">
        <v>19</v>
      </c>
      <c r="C19" s="1">
        <v>4</v>
      </c>
      <c r="D19" s="7">
        <v>1.2</v>
      </c>
      <c r="E19" s="7">
        <v>6.5</v>
      </c>
      <c r="F19" s="1" t="s">
        <v>12</v>
      </c>
      <c r="G19" s="1" t="s">
        <v>196</v>
      </c>
      <c r="H19" s="1" t="s">
        <v>379</v>
      </c>
      <c r="J19" s="9">
        <f t="shared" si="2"/>
        <v>112.69999999999999</v>
      </c>
      <c r="K19" s="1">
        <v>1300</v>
      </c>
      <c r="L19" s="1" t="s">
        <v>10</v>
      </c>
      <c r="N19" s="1" t="s">
        <v>205</v>
      </c>
      <c r="P19" s="1" t="s">
        <v>32</v>
      </c>
      <c r="Q19" s="1" t="s">
        <v>267</v>
      </c>
      <c r="S19" s="1">
        <f t="shared" si="1"/>
        <v>112.69999999999999</v>
      </c>
      <c r="T19" s="7">
        <v>35.4</v>
      </c>
    </row>
    <row r="20" spans="1:20" ht="14" x14ac:dyDescent="0.2">
      <c r="A20" s="6">
        <v>20</v>
      </c>
      <c r="C20" s="1">
        <v>5</v>
      </c>
      <c r="D20" s="7">
        <v>4.5</v>
      </c>
      <c r="E20" s="7">
        <v>3.5</v>
      </c>
      <c r="F20" s="1" t="s">
        <v>12</v>
      </c>
      <c r="G20" s="1" t="s">
        <v>196</v>
      </c>
      <c r="H20" s="1" t="s">
        <v>379</v>
      </c>
      <c r="J20" s="9">
        <f t="shared" si="2"/>
        <v>162.30000000000001</v>
      </c>
      <c r="K20" s="1">
        <v>1300</v>
      </c>
      <c r="L20" s="1" t="s">
        <v>10</v>
      </c>
      <c r="N20" s="1" t="s">
        <v>205</v>
      </c>
      <c r="P20" s="1" t="s">
        <v>234</v>
      </c>
      <c r="Q20" s="1" t="s">
        <v>267</v>
      </c>
      <c r="S20" s="1">
        <f t="shared" si="1"/>
        <v>162.30000000000001</v>
      </c>
      <c r="T20" s="2">
        <v>51</v>
      </c>
    </row>
    <row r="21" spans="1:20" ht="15.75" customHeight="1" x14ac:dyDescent="0.2">
      <c r="A21" s="6">
        <v>21</v>
      </c>
      <c r="C21" s="1">
        <v>5</v>
      </c>
      <c r="D21" s="7">
        <v>3.5</v>
      </c>
      <c r="E21" s="7">
        <v>6</v>
      </c>
      <c r="F21" s="1" t="s">
        <v>12</v>
      </c>
      <c r="G21" s="1" t="s">
        <v>196</v>
      </c>
      <c r="H21" s="1" t="s">
        <v>379</v>
      </c>
      <c r="J21" s="9">
        <f t="shared" si="2"/>
        <v>372.1</v>
      </c>
      <c r="K21" s="1">
        <v>1600</v>
      </c>
      <c r="L21" s="1" t="s">
        <v>28</v>
      </c>
      <c r="N21" s="1" t="s">
        <v>219</v>
      </c>
      <c r="P21" s="1" t="s">
        <v>234</v>
      </c>
      <c r="Q21" s="1" t="s">
        <v>267</v>
      </c>
      <c r="S21" s="1">
        <f t="shared" si="1"/>
        <v>372.1</v>
      </c>
      <c r="T21" s="7">
        <v>116.9</v>
      </c>
    </row>
    <row r="22" spans="1:20" ht="15.75" customHeight="1" x14ac:dyDescent="0.2">
      <c r="A22" s="6">
        <v>22</v>
      </c>
      <c r="C22" s="1">
        <v>5</v>
      </c>
      <c r="D22" s="7">
        <v>9.5</v>
      </c>
      <c r="E22" s="7">
        <v>0.8</v>
      </c>
      <c r="F22" s="1" t="s">
        <v>12</v>
      </c>
      <c r="G22" s="1" t="s">
        <v>183</v>
      </c>
      <c r="H22" s="1" t="s">
        <v>380</v>
      </c>
      <c r="J22" s="9">
        <f t="shared" si="2"/>
        <v>140.69999999999999</v>
      </c>
      <c r="K22" s="1">
        <v>1300</v>
      </c>
      <c r="L22" s="1" t="s">
        <v>10</v>
      </c>
      <c r="N22" s="1" t="s">
        <v>219</v>
      </c>
      <c r="P22" s="1" t="s">
        <v>234</v>
      </c>
      <c r="Q22" s="1" t="s">
        <v>14</v>
      </c>
      <c r="S22" s="1">
        <f t="shared" si="1"/>
        <v>140.69999999999999</v>
      </c>
      <c r="T22" s="2">
        <v>44.2</v>
      </c>
    </row>
    <row r="23" spans="1:20" ht="15.75" customHeight="1" x14ac:dyDescent="0.2">
      <c r="A23" s="6">
        <v>23</v>
      </c>
      <c r="C23" s="1">
        <v>5</v>
      </c>
      <c r="D23" s="7">
        <v>5.5</v>
      </c>
      <c r="E23" s="7">
        <v>8</v>
      </c>
      <c r="F23" s="1" t="s">
        <v>65</v>
      </c>
      <c r="G23" s="1" t="s">
        <v>182</v>
      </c>
      <c r="H23" s="1" t="s">
        <v>66</v>
      </c>
      <c r="J23" s="9">
        <f t="shared" si="2"/>
        <v>396.3</v>
      </c>
      <c r="K23" s="1">
        <v>1300</v>
      </c>
      <c r="L23" s="1" t="s">
        <v>10</v>
      </c>
      <c r="N23" s="1" t="s">
        <v>213</v>
      </c>
      <c r="P23" s="1" t="s">
        <v>234</v>
      </c>
      <c r="S23" s="1">
        <f t="shared" si="1"/>
        <v>396.3</v>
      </c>
      <c r="T23" s="7">
        <v>124.5</v>
      </c>
    </row>
    <row r="24" spans="1:20" ht="15.75" customHeight="1" x14ac:dyDescent="0.2">
      <c r="A24" s="6">
        <v>24</v>
      </c>
      <c r="C24" s="1">
        <v>6</v>
      </c>
      <c r="D24" s="7">
        <v>6.5</v>
      </c>
      <c r="E24" s="7">
        <v>8.5</v>
      </c>
      <c r="F24" s="1" t="s">
        <v>12</v>
      </c>
      <c r="G24" s="1" t="s">
        <v>183</v>
      </c>
      <c r="H24" s="1" t="s">
        <v>380</v>
      </c>
      <c r="J24" s="9">
        <f t="shared" si="2"/>
        <v>100.3</v>
      </c>
      <c r="K24" s="1">
        <v>1300</v>
      </c>
      <c r="L24" s="1" t="s">
        <v>10</v>
      </c>
      <c r="N24" s="1" t="s">
        <v>219</v>
      </c>
      <c r="P24" s="1" t="s">
        <v>234</v>
      </c>
      <c r="Q24" s="1" t="s">
        <v>14</v>
      </c>
      <c r="S24" s="1">
        <f t="shared" si="1"/>
        <v>100.3</v>
      </c>
      <c r="T24" s="2">
        <v>31.5</v>
      </c>
    </row>
    <row r="25" spans="1:20" ht="15.75" customHeight="1" x14ac:dyDescent="0.2">
      <c r="A25" s="6">
        <v>25</v>
      </c>
      <c r="C25" s="1">
        <v>6</v>
      </c>
      <c r="D25" s="7">
        <v>3.5</v>
      </c>
      <c r="E25" s="7">
        <v>0.1</v>
      </c>
      <c r="F25" s="1" t="s">
        <v>48</v>
      </c>
      <c r="G25" s="1" t="s">
        <v>190</v>
      </c>
      <c r="H25" s="1" t="s">
        <v>249</v>
      </c>
      <c r="J25" s="9">
        <f t="shared" si="2"/>
        <v>282.7</v>
      </c>
      <c r="K25" s="1">
        <v>1300</v>
      </c>
      <c r="L25" s="1" t="s">
        <v>28</v>
      </c>
      <c r="N25" s="1" t="s">
        <v>212</v>
      </c>
      <c r="P25" s="1" t="s">
        <v>234</v>
      </c>
      <c r="Q25" s="1" t="s">
        <v>29</v>
      </c>
      <c r="S25" s="1">
        <f t="shared" si="1"/>
        <v>282.7</v>
      </c>
      <c r="T25" s="7">
        <v>88.8</v>
      </c>
    </row>
    <row r="26" spans="1:20" ht="15.75" customHeight="1" x14ac:dyDescent="0.2">
      <c r="A26" s="6">
        <v>26</v>
      </c>
      <c r="C26" s="1">
        <v>6</v>
      </c>
      <c r="D26" s="7">
        <v>1.5</v>
      </c>
      <c r="E26" s="7">
        <v>1.5</v>
      </c>
      <c r="F26" s="1" t="s">
        <v>54</v>
      </c>
      <c r="G26" s="1" t="s">
        <v>274</v>
      </c>
      <c r="H26" s="1" t="s">
        <v>37</v>
      </c>
      <c r="J26" s="9">
        <f t="shared" si="2"/>
        <v>227.60000000000002</v>
      </c>
      <c r="K26" s="1">
        <v>1300</v>
      </c>
      <c r="L26" s="1" t="s">
        <v>10</v>
      </c>
      <c r="N26" s="14" t="s">
        <v>286</v>
      </c>
      <c r="P26" s="1" t="s">
        <v>234</v>
      </c>
      <c r="Q26" s="1" t="s">
        <v>367</v>
      </c>
      <c r="S26" s="1">
        <f t="shared" si="1"/>
        <v>227.60000000000002</v>
      </c>
      <c r="T26" s="2">
        <v>71.5</v>
      </c>
    </row>
    <row r="27" spans="1:20" ht="15.75" customHeight="1" x14ac:dyDescent="0.2">
      <c r="A27" s="6">
        <v>27</v>
      </c>
      <c r="C27" s="1">
        <v>6</v>
      </c>
      <c r="D27" s="7">
        <v>1</v>
      </c>
      <c r="E27" s="7">
        <v>3.5</v>
      </c>
      <c r="F27" s="1" t="s">
        <v>12</v>
      </c>
      <c r="G27" s="1" t="s">
        <v>183</v>
      </c>
      <c r="H27" s="1" t="s">
        <v>380</v>
      </c>
      <c r="J27" s="9">
        <f t="shared" si="2"/>
        <v>119</v>
      </c>
      <c r="K27" s="1">
        <v>1300</v>
      </c>
      <c r="L27" s="1" t="s">
        <v>10</v>
      </c>
      <c r="N27" s="1" t="s">
        <v>219</v>
      </c>
      <c r="P27" s="1" t="s">
        <v>234</v>
      </c>
      <c r="Q27" s="1" t="s">
        <v>14</v>
      </c>
      <c r="S27" s="1">
        <f t="shared" si="1"/>
        <v>119</v>
      </c>
      <c r="T27" s="7">
        <v>37.4</v>
      </c>
    </row>
    <row r="28" spans="1:20" ht="15.75" customHeight="1" x14ac:dyDescent="0.2">
      <c r="A28" s="6">
        <v>28</v>
      </c>
      <c r="C28" s="1">
        <v>6</v>
      </c>
      <c r="D28" s="7">
        <v>1.5</v>
      </c>
      <c r="E28" s="7">
        <v>3.7</v>
      </c>
      <c r="F28" s="1" t="s">
        <v>39</v>
      </c>
      <c r="G28" s="1" t="s">
        <v>277</v>
      </c>
      <c r="H28" s="1" t="s">
        <v>236</v>
      </c>
      <c r="J28" s="9">
        <f t="shared" si="2"/>
        <v>1018.6</v>
      </c>
      <c r="K28" s="1">
        <v>1300</v>
      </c>
      <c r="L28" s="1" t="s">
        <v>10</v>
      </c>
      <c r="N28" s="14" t="s">
        <v>298</v>
      </c>
      <c r="P28" s="1" t="s">
        <v>234</v>
      </c>
      <c r="R28" s="1" t="s">
        <v>40</v>
      </c>
      <c r="S28" s="1">
        <f t="shared" si="1"/>
        <v>1018.6</v>
      </c>
      <c r="T28" s="7">
        <v>320</v>
      </c>
    </row>
    <row r="29" spans="1:20" ht="15.75" customHeight="1" x14ac:dyDescent="0.2">
      <c r="A29" s="6">
        <v>29</v>
      </c>
      <c r="C29" s="1">
        <v>6</v>
      </c>
      <c r="D29" s="7">
        <v>8.1999999999999993</v>
      </c>
      <c r="E29" s="7">
        <v>6.5</v>
      </c>
      <c r="F29" s="1" t="s">
        <v>86</v>
      </c>
      <c r="G29" s="1" t="s">
        <v>197</v>
      </c>
      <c r="H29" s="8" t="s">
        <v>250</v>
      </c>
      <c r="J29" s="9">
        <f t="shared" si="2"/>
        <v>253.1</v>
      </c>
      <c r="K29" s="1">
        <v>1300</v>
      </c>
      <c r="L29" s="1" t="s">
        <v>10</v>
      </c>
      <c r="N29" s="1" t="s">
        <v>204</v>
      </c>
      <c r="P29" s="1" t="s">
        <v>234</v>
      </c>
      <c r="S29" s="1">
        <f t="shared" si="1"/>
        <v>253.1</v>
      </c>
      <c r="T29" s="7">
        <v>79.5</v>
      </c>
    </row>
    <row r="30" spans="1:20" ht="15.75" customHeight="1" x14ac:dyDescent="0.2">
      <c r="A30" s="6">
        <v>30</v>
      </c>
      <c r="C30" s="1">
        <v>7</v>
      </c>
      <c r="D30" s="7">
        <v>7.5</v>
      </c>
      <c r="E30" s="7">
        <v>7.5</v>
      </c>
      <c r="F30" s="1" t="s">
        <v>15</v>
      </c>
      <c r="G30" s="1" t="s">
        <v>16</v>
      </c>
      <c r="H30" s="1" t="s">
        <v>269</v>
      </c>
      <c r="J30" s="9">
        <f t="shared" si="2"/>
        <v>133.69999999999999</v>
      </c>
      <c r="K30" s="1">
        <v>1300</v>
      </c>
      <c r="L30" s="1" t="s">
        <v>5</v>
      </c>
      <c r="N30" s="14" t="s">
        <v>292</v>
      </c>
      <c r="P30" s="1" t="s">
        <v>32</v>
      </c>
      <c r="S30" s="1">
        <f t="shared" si="1"/>
        <v>133.69999999999999</v>
      </c>
      <c r="T30" s="2">
        <v>42</v>
      </c>
    </row>
    <row r="31" spans="1:20" ht="15.75" customHeight="1" x14ac:dyDescent="0.2">
      <c r="A31" s="6">
        <v>31</v>
      </c>
      <c r="C31" s="1">
        <v>7</v>
      </c>
      <c r="D31" s="7">
        <v>6.5</v>
      </c>
      <c r="E31" s="7">
        <v>5</v>
      </c>
      <c r="F31" s="1" t="s">
        <v>12</v>
      </c>
      <c r="G31" s="1" t="s">
        <v>183</v>
      </c>
      <c r="H31" s="1" t="s">
        <v>380</v>
      </c>
      <c r="J31" s="9">
        <f t="shared" si="2"/>
        <v>164.89999999999998</v>
      </c>
      <c r="K31" s="1">
        <v>1300</v>
      </c>
      <c r="L31" s="1" t="s">
        <v>19</v>
      </c>
      <c r="N31" s="1" t="s">
        <v>219</v>
      </c>
      <c r="P31" s="1" t="s">
        <v>234</v>
      </c>
      <c r="Q31" s="1" t="s">
        <v>41</v>
      </c>
      <c r="R31" s="1" t="s">
        <v>13</v>
      </c>
      <c r="S31" s="1">
        <f t="shared" si="1"/>
        <v>164.89999999999998</v>
      </c>
      <c r="T31" s="2">
        <v>51.8</v>
      </c>
    </row>
    <row r="32" spans="1:20" ht="15.75" customHeight="1" x14ac:dyDescent="0.2">
      <c r="A32" s="6">
        <v>32</v>
      </c>
      <c r="C32" s="1">
        <v>7</v>
      </c>
      <c r="D32" s="7">
        <v>2</v>
      </c>
      <c r="E32" s="7">
        <v>2</v>
      </c>
      <c r="F32" s="1" t="s">
        <v>12</v>
      </c>
      <c r="G32" s="1" t="s">
        <v>183</v>
      </c>
      <c r="H32" s="1" t="s">
        <v>380</v>
      </c>
      <c r="J32" s="9">
        <f t="shared" si="2"/>
        <v>143.19999999999999</v>
      </c>
      <c r="K32" s="1">
        <v>1300</v>
      </c>
      <c r="L32" s="1" t="s">
        <v>10</v>
      </c>
      <c r="N32" s="1" t="s">
        <v>219</v>
      </c>
      <c r="P32" s="1" t="s">
        <v>234</v>
      </c>
      <c r="Q32" s="1" t="s">
        <v>42</v>
      </c>
      <c r="R32" s="1" t="s">
        <v>13</v>
      </c>
      <c r="S32" s="1">
        <f t="shared" si="1"/>
        <v>143.19999999999999</v>
      </c>
      <c r="T32" s="7">
        <v>45</v>
      </c>
    </row>
    <row r="33" spans="1:20" ht="15.75" customHeight="1" x14ac:dyDescent="0.2">
      <c r="A33" s="6">
        <v>33</v>
      </c>
      <c r="C33" s="1">
        <v>7</v>
      </c>
      <c r="D33" s="7">
        <v>1.5</v>
      </c>
      <c r="E33" s="7">
        <v>9.5</v>
      </c>
      <c r="F33" s="1" t="s">
        <v>12</v>
      </c>
      <c r="G33" s="1" t="s">
        <v>183</v>
      </c>
      <c r="H33" s="1" t="s">
        <v>380</v>
      </c>
      <c r="J33" s="9">
        <f t="shared" si="2"/>
        <v>305.59999999999997</v>
      </c>
      <c r="K33" s="1">
        <v>1300</v>
      </c>
      <c r="L33" s="1" t="s">
        <v>10</v>
      </c>
      <c r="N33" s="1" t="s">
        <v>219</v>
      </c>
      <c r="P33" s="1" t="s">
        <v>234</v>
      </c>
      <c r="Q33" s="1" t="s">
        <v>42</v>
      </c>
      <c r="R33" s="1" t="s">
        <v>13</v>
      </c>
      <c r="S33" s="1">
        <f t="shared" si="1"/>
        <v>305.59999999999997</v>
      </c>
      <c r="T33" s="7">
        <v>96</v>
      </c>
    </row>
    <row r="34" spans="1:20" ht="15.75" customHeight="1" x14ac:dyDescent="0.2">
      <c r="A34" s="6">
        <v>34</v>
      </c>
      <c r="C34" s="1">
        <v>8</v>
      </c>
      <c r="D34" s="7">
        <v>2</v>
      </c>
      <c r="E34" s="7">
        <v>3.5</v>
      </c>
      <c r="F34" s="1" t="s">
        <v>43</v>
      </c>
      <c r="G34" s="1" t="s">
        <v>44</v>
      </c>
      <c r="H34" s="1" t="s">
        <v>27</v>
      </c>
      <c r="J34" s="9">
        <f t="shared" si="2"/>
        <v>313.2</v>
      </c>
      <c r="K34" s="1">
        <v>1300</v>
      </c>
      <c r="L34" s="1" t="s">
        <v>45</v>
      </c>
      <c r="N34" s="1" t="s">
        <v>206</v>
      </c>
      <c r="P34" s="1" t="s">
        <v>32</v>
      </c>
      <c r="Q34" s="1" t="s">
        <v>46</v>
      </c>
      <c r="S34" s="1">
        <f t="shared" si="1"/>
        <v>313.2</v>
      </c>
      <c r="T34" s="7">
        <v>98.4</v>
      </c>
    </row>
    <row r="35" spans="1:20" ht="15.75" customHeight="1" x14ac:dyDescent="0.2">
      <c r="A35" s="6">
        <v>35</v>
      </c>
      <c r="C35" s="1">
        <v>8</v>
      </c>
      <c r="D35" s="7">
        <v>0.8</v>
      </c>
      <c r="E35" s="7">
        <v>7.5</v>
      </c>
      <c r="F35" s="1" t="s">
        <v>39</v>
      </c>
      <c r="G35" s="1" t="s">
        <v>400</v>
      </c>
      <c r="H35" s="1" t="s">
        <v>264</v>
      </c>
      <c r="J35" s="9">
        <f t="shared" si="2"/>
        <v>198.9</v>
      </c>
      <c r="K35" s="1">
        <v>1300</v>
      </c>
      <c r="L35" s="1" t="s">
        <v>10</v>
      </c>
      <c r="N35" s="1" t="s">
        <v>207</v>
      </c>
      <c r="P35" s="1" t="s">
        <v>32</v>
      </c>
      <c r="S35" s="1">
        <f t="shared" si="1"/>
        <v>198.9</v>
      </c>
      <c r="T35" s="2">
        <v>62.5</v>
      </c>
    </row>
    <row r="36" spans="1:20" ht="15.75" customHeight="1" x14ac:dyDescent="0.2">
      <c r="A36" s="6">
        <v>36</v>
      </c>
      <c r="C36" s="1">
        <v>8</v>
      </c>
      <c r="D36" s="7">
        <v>8.1999999999999993</v>
      </c>
      <c r="E36" s="7">
        <v>6.5</v>
      </c>
      <c r="F36" s="1" t="s">
        <v>20</v>
      </c>
      <c r="G36" s="1" t="s">
        <v>405</v>
      </c>
      <c r="H36" s="1" t="s">
        <v>47</v>
      </c>
      <c r="J36" s="9">
        <f t="shared" si="2"/>
        <v>367.29999999999995</v>
      </c>
      <c r="K36" s="1">
        <v>1300</v>
      </c>
      <c r="L36" s="1" t="s">
        <v>10</v>
      </c>
      <c r="R36" s="1" t="s">
        <v>21</v>
      </c>
      <c r="S36" s="1">
        <f t="shared" si="1"/>
        <v>367.29999999999995</v>
      </c>
      <c r="T36" s="7">
        <v>115.4</v>
      </c>
    </row>
    <row r="37" spans="1:20" ht="15.75" customHeight="1" x14ac:dyDescent="0.2">
      <c r="A37" s="6">
        <v>37</v>
      </c>
      <c r="C37" s="1">
        <v>9</v>
      </c>
      <c r="D37" s="7">
        <v>2</v>
      </c>
      <c r="E37" s="7">
        <v>0.1</v>
      </c>
      <c r="F37" s="1" t="s">
        <v>12</v>
      </c>
      <c r="G37" s="1" t="s">
        <v>183</v>
      </c>
      <c r="H37" s="1" t="s">
        <v>380</v>
      </c>
      <c r="J37" s="9">
        <f t="shared" si="2"/>
        <v>251.5</v>
      </c>
      <c r="K37" s="1">
        <v>1300</v>
      </c>
      <c r="L37" s="1" t="s">
        <v>10</v>
      </c>
      <c r="N37" s="1" t="s">
        <v>219</v>
      </c>
      <c r="P37" s="1" t="s">
        <v>234</v>
      </c>
      <c r="Q37" s="1" t="s">
        <v>42</v>
      </c>
      <c r="R37" s="1" t="s">
        <v>13</v>
      </c>
      <c r="S37" s="1">
        <f t="shared" si="1"/>
        <v>251.5</v>
      </c>
      <c r="T37" s="7">
        <v>79</v>
      </c>
    </row>
    <row r="38" spans="1:20" ht="15.75" customHeight="1" x14ac:dyDescent="0.2">
      <c r="A38" s="6">
        <v>38</v>
      </c>
      <c r="C38" s="1">
        <v>9</v>
      </c>
      <c r="D38" s="7">
        <v>4.5</v>
      </c>
      <c r="E38" s="7">
        <v>0.2</v>
      </c>
      <c r="F38" s="1" t="s">
        <v>186</v>
      </c>
      <c r="G38" s="1" t="s">
        <v>200</v>
      </c>
      <c r="H38" s="1" t="s">
        <v>255</v>
      </c>
      <c r="J38" s="9">
        <f t="shared" si="2"/>
        <v>240</v>
      </c>
      <c r="K38" s="1">
        <v>1300</v>
      </c>
      <c r="L38" s="1" t="s">
        <v>10</v>
      </c>
      <c r="N38" s="1" t="s">
        <v>228</v>
      </c>
      <c r="P38" s="1" t="s">
        <v>234</v>
      </c>
      <c r="S38" s="1">
        <f t="shared" si="1"/>
        <v>240</v>
      </c>
      <c r="T38" s="7">
        <v>75.400000000000006</v>
      </c>
    </row>
    <row r="39" spans="1:20" ht="15.75" customHeight="1" x14ac:dyDescent="0.2">
      <c r="A39" s="6">
        <v>39</v>
      </c>
      <c r="C39" s="1">
        <v>9</v>
      </c>
      <c r="D39" s="7">
        <v>7</v>
      </c>
      <c r="E39" s="7">
        <v>7</v>
      </c>
      <c r="F39" s="1" t="s">
        <v>48</v>
      </c>
      <c r="G39" s="1" t="s">
        <v>189</v>
      </c>
      <c r="H39" s="1" t="s">
        <v>49</v>
      </c>
      <c r="J39" s="9">
        <f t="shared" si="2"/>
        <v>135.6</v>
      </c>
      <c r="K39" s="1">
        <v>1300</v>
      </c>
      <c r="L39" s="1" t="s">
        <v>10</v>
      </c>
      <c r="N39" s="1" t="s">
        <v>208</v>
      </c>
      <c r="P39" s="1" t="s">
        <v>32</v>
      </c>
      <c r="R39" s="1" t="s">
        <v>50</v>
      </c>
      <c r="S39" s="1">
        <f t="shared" si="1"/>
        <v>135.6</v>
      </c>
      <c r="T39" s="7">
        <v>42.6</v>
      </c>
    </row>
    <row r="40" spans="1:20" ht="15.75" customHeight="1" x14ac:dyDescent="0.2">
      <c r="A40" s="6">
        <v>40</v>
      </c>
      <c r="C40" s="1">
        <v>9</v>
      </c>
      <c r="D40" s="7">
        <v>3</v>
      </c>
      <c r="E40" s="7">
        <v>8.5</v>
      </c>
      <c r="F40" s="1" t="s">
        <v>48</v>
      </c>
      <c r="G40" s="1" t="s">
        <v>190</v>
      </c>
      <c r="H40" s="1" t="s">
        <v>255</v>
      </c>
      <c r="J40" s="9">
        <f t="shared" si="2"/>
        <v>418.29999999999995</v>
      </c>
      <c r="K40" s="1">
        <v>1800</v>
      </c>
      <c r="L40" s="1" t="s">
        <v>51</v>
      </c>
      <c r="N40" s="1" t="s">
        <v>212</v>
      </c>
      <c r="P40" s="1" t="s">
        <v>234</v>
      </c>
      <c r="S40" s="1">
        <f t="shared" si="1"/>
        <v>418.29999999999995</v>
      </c>
      <c r="T40" s="7">
        <v>131.4</v>
      </c>
    </row>
    <row r="41" spans="1:20" ht="15.75" customHeight="1" x14ac:dyDescent="0.2">
      <c r="A41" s="6">
        <v>41</v>
      </c>
      <c r="C41" s="1">
        <v>9</v>
      </c>
      <c r="D41" s="7">
        <v>8.5</v>
      </c>
      <c r="E41" s="7">
        <v>9.6999999999999993</v>
      </c>
      <c r="F41" s="1" t="s">
        <v>12</v>
      </c>
      <c r="G41" s="1" t="s">
        <v>183</v>
      </c>
      <c r="H41" s="1" t="s">
        <v>380</v>
      </c>
      <c r="J41" s="9">
        <f t="shared" si="2"/>
        <v>104.39999999999999</v>
      </c>
      <c r="K41" s="1">
        <v>1300</v>
      </c>
      <c r="L41" s="1" t="s">
        <v>10</v>
      </c>
      <c r="N41" s="1" t="s">
        <v>219</v>
      </c>
      <c r="P41" s="1" t="s">
        <v>234</v>
      </c>
      <c r="Q41" s="1" t="s">
        <v>42</v>
      </c>
      <c r="R41" s="1" t="s">
        <v>13</v>
      </c>
      <c r="S41" s="1">
        <f t="shared" si="1"/>
        <v>104.39999999999999</v>
      </c>
      <c r="T41" s="7">
        <v>32.799999999999997</v>
      </c>
    </row>
    <row r="42" spans="1:20" ht="15.75" customHeight="1" x14ac:dyDescent="0.2">
      <c r="A42" s="6">
        <v>42</v>
      </c>
      <c r="C42" s="1">
        <v>9</v>
      </c>
      <c r="D42" s="7">
        <v>0.1</v>
      </c>
      <c r="E42" s="7">
        <v>9.8000000000000007</v>
      </c>
      <c r="F42" s="1" t="s">
        <v>22</v>
      </c>
      <c r="G42" s="1" t="s">
        <v>191</v>
      </c>
      <c r="H42" s="1" t="s">
        <v>389</v>
      </c>
      <c r="J42" s="9">
        <f t="shared" si="2"/>
        <v>671.59999999999991</v>
      </c>
      <c r="K42" s="1">
        <v>2500</v>
      </c>
      <c r="L42" s="1" t="s">
        <v>10</v>
      </c>
      <c r="N42" s="1" t="s">
        <v>285</v>
      </c>
      <c r="P42" s="1" t="s">
        <v>32</v>
      </c>
      <c r="Q42" s="1" t="s">
        <v>26</v>
      </c>
      <c r="R42" s="1" t="s">
        <v>52</v>
      </c>
      <c r="S42" s="1">
        <f t="shared" si="1"/>
        <v>671.59999999999991</v>
      </c>
      <c r="T42" s="7">
        <v>211</v>
      </c>
    </row>
    <row r="43" spans="1:20" ht="15.75" customHeight="1" x14ac:dyDescent="0.2">
      <c r="A43" s="6">
        <v>43</v>
      </c>
      <c r="C43" s="1">
        <v>10</v>
      </c>
      <c r="D43" s="7">
        <v>3.5</v>
      </c>
      <c r="E43" s="7">
        <v>0.1</v>
      </c>
      <c r="F43" s="1" t="s">
        <v>12</v>
      </c>
      <c r="G43" s="1" t="s">
        <v>183</v>
      </c>
      <c r="H43" s="1" t="s">
        <v>380</v>
      </c>
      <c r="J43" s="9">
        <f t="shared" si="2"/>
        <v>107.30000000000001</v>
      </c>
      <c r="K43" s="1">
        <v>1300</v>
      </c>
      <c r="L43" s="1" t="s">
        <v>10</v>
      </c>
      <c r="N43" s="1" t="s">
        <v>219</v>
      </c>
      <c r="P43" s="1" t="s">
        <v>234</v>
      </c>
      <c r="Q43" s="1" t="s">
        <v>42</v>
      </c>
      <c r="R43" s="1" t="s">
        <v>13</v>
      </c>
      <c r="S43" s="1">
        <f t="shared" si="1"/>
        <v>107.30000000000001</v>
      </c>
      <c r="T43" s="7">
        <v>33.700000000000003</v>
      </c>
    </row>
    <row r="44" spans="1:20" ht="15.75" customHeight="1" x14ac:dyDescent="0.2">
      <c r="A44" s="6">
        <v>44</v>
      </c>
      <c r="C44" s="1">
        <v>10</v>
      </c>
      <c r="D44" s="7">
        <v>8.5</v>
      </c>
      <c r="E44" s="7">
        <v>1.5</v>
      </c>
      <c r="F44" s="1" t="s">
        <v>12</v>
      </c>
      <c r="G44" s="1" t="s">
        <v>183</v>
      </c>
      <c r="H44" s="1" t="s">
        <v>380</v>
      </c>
      <c r="J44" s="9">
        <f t="shared" si="2"/>
        <v>126.7</v>
      </c>
      <c r="K44" s="1">
        <v>1300</v>
      </c>
      <c r="L44" s="1" t="s">
        <v>10</v>
      </c>
      <c r="N44" s="1" t="s">
        <v>219</v>
      </c>
      <c r="P44" s="1" t="s">
        <v>234</v>
      </c>
      <c r="Q44" s="1" t="s">
        <v>42</v>
      </c>
      <c r="R44" s="1" t="s">
        <v>13</v>
      </c>
      <c r="S44" s="1">
        <f t="shared" si="1"/>
        <v>126.7</v>
      </c>
      <c r="T44" s="7">
        <v>39.799999999999997</v>
      </c>
    </row>
    <row r="45" spans="1:20" ht="15.75" customHeight="1" x14ac:dyDescent="0.2">
      <c r="A45" s="6">
        <v>45</v>
      </c>
      <c r="C45" s="1">
        <v>10</v>
      </c>
      <c r="D45" s="7">
        <v>3</v>
      </c>
      <c r="E45" s="7">
        <v>6</v>
      </c>
      <c r="F45" s="1" t="s">
        <v>12</v>
      </c>
      <c r="G45" s="1" t="s">
        <v>183</v>
      </c>
      <c r="H45" s="1" t="s">
        <v>380</v>
      </c>
      <c r="J45" s="9">
        <f t="shared" si="2"/>
        <v>159.19999999999999</v>
      </c>
      <c r="K45" s="1">
        <v>1300</v>
      </c>
      <c r="L45" s="1" t="s">
        <v>10</v>
      </c>
      <c r="N45" s="1" t="s">
        <v>219</v>
      </c>
      <c r="P45" s="1" t="s">
        <v>234</v>
      </c>
      <c r="Q45" s="1" t="s">
        <v>42</v>
      </c>
      <c r="R45" s="1" t="s">
        <v>13</v>
      </c>
      <c r="S45" s="1">
        <f t="shared" si="1"/>
        <v>159.19999999999999</v>
      </c>
      <c r="T45" s="7">
        <v>50</v>
      </c>
    </row>
    <row r="46" spans="1:20" ht="15.75" customHeight="1" x14ac:dyDescent="0.2">
      <c r="A46" s="6">
        <v>46</v>
      </c>
      <c r="C46" s="1">
        <v>11</v>
      </c>
      <c r="D46" s="7">
        <v>1.5</v>
      </c>
      <c r="E46" s="7">
        <v>6</v>
      </c>
      <c r="F46" s="1" t="s">
        <v>22</v>
      </c>
      <c r="G46" s="1" t="s">
        <v>324</v>
      </c>
      <c r="H46" s="8" t="s">
        <v>23</v>
      </c>
      <c r="J46" s="9">
        <f t="shared" si="2"/>
        <v>198.29999999999998</v>
      </c>
      <c r="K46" s="1">
        <v>1300</v>
      </c>
      <c r="L46" s="1" t="s">
        <v>10</v>
      </c>
      <c r="N46" s="14" t="s">
        <v>327</v>
      </c>
      <c r="P46" s="1" t="s">
        <v>234</v>
      </c>
      <c r="Q46" s="1" t="s">
        <v>53</v>
      </c>
      <c r="S46" s="1">
        <f t="shared" si="1"/>
        <v>198.29999999999998</v>
      </c>
      <c r="T46" s="7">
        <v>62.3</v>
      </c>
    </row>
    <row r="47" spans="1:20" ht="15.75" customHeight="1" x14ac:dyDescent="0.2">
      <c r="A47" s="6">
        <v>47</v>
      </c>
      <c r="C47" s="1">
        <v>11</v>
      </c>
      <c r="D47" s="7">
        <v>5</v>
      </c>
      <c r="E47" s="7">
        <v>5</v>
      </c>
      <c r="F47" s="1" t="s">
        <v>22</v>
      </c>
      <c r="G47" s="1" t="s">
        <v>130</v>
      </c>
      <c r="H47" s="1" t="s">
        <v>179</v>
      </c>
      <c r="J47" s="9">
        <f t="shared" si="2"/>
        <v>372.40000000000003</v>
      </c>
      <c r="K47" s="1">
        <v>1300</v>
      </c>
      <c r="L47" s="1" t="s">
        <v>10</v>
      </c>
      <c r="N47" s="14" t="s">
        <v>301</v>
      </c>
      <c r="P47" s="1" t="s">
        <v>32</v>
      </c>
      <c r="Q47" s="1" t="s">
        <v>53</v>
      </c>
      <c r="S47" s="1">
        <f t="shared" si="1"/>
        <v>372.40000000000003</v>
      </c>
      <c r="T47" s="7">
        <v>117</v>
      </c>
    </row>
    <row r="48" spans="1:20" ht="15.75" customHeight="1" x14ac:dyDescent="0.2">
      <c r="A48" s="6">
        <v>48</v>
      </c>
      <c r="C48" s="1">
        <v>11</v>
      </c>
      <c r="D48" s="7">
        <v>8</v>
      </c>
      <c r="E48" s="7">
        <v>9</v>
      </c>
      <c r="F48" s="1" t="s">
        <v>54</v>
      </c>
      <c r="G48" s="1" t="s">
        <v>274</v>
      </c>
      <c r="H48" s="1" t="s">
        <v>37</v>
      </c>
      <c r="J48" s="9">
        <f t="shared" si="2"/>
        <v>148</v>
      </c>
      <c r="K48" s="1">
        <v>1300</v>
      </c>
      <c r="L48" s="1" t="s">
        <v>55</v>
      </c>
      <c r="N48" s="14" t="s">
        <v>318</v>
      </c>
      <c r="P48" s="1" t="s">
        <v>32</v>
      </c>
      <c r="Q48" s="1" t="s">
        <v>38</v>
      </c>
      <c r="S48" s="1">
        <f t="shared" si="1"/>
        <v>148</v>
      </c>
      <c r="T48" s="2">
        <v>46.5</v>
      </c>
    </row>
    <row r="49" spans="1:20" ht="15.75" customHeight="1" x14ac:dyDescent="0.2">
      <c r="A49" s="6">
        <v>49</v>
      </c>
      <c r="C49" s="1">
        <v>11</v>
      </c>
      <c r="D49" s="7">
        <v>8.1999999999999993</v>
      </c>
      <c r="E49" s="7">
        <v>3.5</v>
      </c>
      <c r="F49" s="1" t="s">
        <v>54</v>
      </c>
      <c r="G49" s="1" t="s">
        <v>274</v>
      </c>
      <c r="H49" s="1" t="s">
        <v>37</v>
      </c>
      <c r="J49" s="9">
        <f t="shared" si="2"/>
        <v>102.8</v>
      </c>
      <c r="K49" s="1">
        <v>1300</v>
      </c>
      <c r="L49" s="1" t="s">
        <v>56</v>
      </c>
      <c r="N49" s="14" t="s">
        <v>318</v>
      </c>
      <c r="P49" s="1" t="s">
        <v>234</v>
      </c>
      <c r="Q49" s="1" t="s">
        <v>38</v>
      </c>
      <c r="S49" s="1">
        <f t="shared" si="1"/>
        <v>102.8</v>
      </c>
      <c r="T49" s="7">
        <v>32.299999999999997</v>
      </c>
    </row>
    <row r="50" spans="1:20" ht="15.75" customHeight="1" x14ac:dyDescent="0.2">
      <c r="A50" s="6">
        <v>50</v>
      </c>
      <c r="C50" s="1">
        <v>11</v>
      </c>
      <c r="D50" s="7">
        <v>0.8</v>
      </c>
      <c r="E50" s="7">
        <v>5.5</v>
      </c>
      <c r="F50" s="1" t="s">
        <v>76</v>
      </c>
      <c r="G50" s="1" t="s">
        <v>77</v>
      </c>
      <c r="H50" s="1" t="s">
        <v>27</v>
      </c>
      <c r="I50" s="1" t="s">
        <v>188</v>
      </c>
      <c r="J50" s="9">
        <f t="shared" si="2"/>
        <v>678</v>
      </c>
      <c r="K50" s="1">
        <v>3600</v>
      </c>
      <c r="L50" s="1" t="s">
        <v>57</v>
      </c>
      <c r="N50" s="1" t="s">
        <v>209</v>
      </c>
      <c r="P50" s="1" t="s">
        <v>32</v>
      </c>
      <c r="Q50" s="1" t="s">
        <v>58</v>
      </c>
      <c r="S50" s="1">
        <f t="shared" si="1"/>
        <v>678</v>
      </c>
      <c r="T50" s="2">
        <v>213</v>
      </c>
    </row>
    <row r="51" spans="1:20" ht="15.75" customHeight="1" x14ac:dyDescent="0.2">
      <c r="A51" s="6">
        <v>51</v>
      </c>
      <c r="C51" s="1">
        <v>12</v>
      </c>
      <c r="D51" s="7">
        <v>3</v>
      </c>
      <c r="E51" s="7">
        <v>6.5</v>
      </c>
      <c r="F51" s="1" t="s">
        <v>86</v>
      </c>
      <c r="G51" s="1" t="s">
        <v>16</v>
      </c>
      <c r="H51" s="1" t="s">
        <v>17</v>
      </c>
      <c r="J51" s="9">
        <f t="shared" si="2"/>
        <v>223.5</v>
      </c>
      <c r="K51" s="1">
        <v>1300</v>
      </c>
      <c r="L51" s="1" t="s">
        <v>10</v>
      </c>
      <c r="N51" s="14" t="s">
        <v>325</v>
      </c>
      <c r="P51" s="1" t="s">
        <v>234</v>
      </c>
      <c r="S51" s="1">
        <f t="shared" si="1"/>
        <v>223.5</v>
      </c>
      <c r="T51" s="7">
        <v>70.2</v>
      </c>
    </row>
    <row r="52" spans="1:20" ht="15.75" customHeight="1" x14ac:dyDescent="0.2">
      <c r="A52" s="6">
        <v>52</v>
      </c>
      <c r="C52" s="1">
        <v>12</v>
      </c>
      <c r="D52" s="7">
        <v>7</v>
      </c>
      <c r="E52" s="7">
        <v>8.8000000000000007</v>
      </c>
      <c r="F52" s="1" t="s">
        <v>12</v>
      </c>
      <c r="G52" s="1" t="s">
        <v>272</v>
      </c>
      <c r="H52" s="1" t="s">
        <v>380</v>
      </c>
      <c r="J52" s="9">
        <f t="shared" si="2"/>
        <v>127.30000000000001</v>
      </c>
      <c r="K52" s="1">
        <v>1300</v>
      </c>
      <c r="L52" s="1" t="s">
        <v>10</v>
      </c>
      <c r="N52" s="14" t="s">
        <v>288</v>
      </c>
      <c r="P52" s="1" t="s">
        <v>32</v>
      </c>
      <c r="S52" s="1">
        <f t="shared" si="1"/>
        <v>127.30000000000001</v>
      </c>
      <c r="T52" s="2">
        <v>40</v>
      </c>
    </row>
    <row r="53" spans="1:20" ht="15.75" customHeight="1" x14ac:dyDescent="0.2">
      <c r="A53" s="6">
        <v>53</v>
      </c>
      <c r="C53" s="1">
        <v>13</v>
      </c>
      <c r="D53" s="7">
        <v>9</v>
      </c>
      <c r="E53" s="7">
        <v>8.5</v>
      </c>
      <c r="F53" s="1" t="s">
        <v>15</v>
      </c>
      <c r="G53" s="1" t="s">
        <v>16</v>
      </c>
      <c r="H53" s="1" t="s">
        <v>270</v>
      </c>
      <c r="J53" s="9">
        <f t="shared" si="2"/>
        <v>184.60000000000002</v>
      </c>
      <c r="K53" s="1">
        <v>1300</v>
      </c>
      <c r="L53" s="1" t="s">
        <v>34</v>
      </c>
      <c r="N53" s="14" t="s">
        <v>291</v>
      </c>
      <c r="P53" s="1" t="s">
        <v>32</v>
      </c>
      <c r="S53" s="1">
        <f t="shared" si="1"/>
        <v>184.60000000000002</v>
      </c>
      <c r="T53" s="2">
        <v>58</v>
      </c>
    </row>
    <row r="54" spans="1:20" ht="15.75" customHeight="1" x14ac:dyDescent="0.2">
      <c r="A54" s="6">
        <v>54</v>
      </c>
      <c r="C54" s="1">
        <v>13</v>
      </c>
      <c r="D54" s="7">
        <v>8</v>
      </c>
      <c r="E54" s="7">
        <v>9</v>
      </c>
      <c r="F54" s="1" t="s">
        <v>12</v>
      </c>
      <c r="G54" s="1" t="s">
        <v>183</v>
      </c>
      <c r="H54" s="1" t="s">
        <v>380</v>
      </c>
      <c r="J54" s="9">
        <f t="shared" si="2"/>
        <v>144.19999999999999</v>
      </c>
      <c r="K54" s="1">
        <v>1300</v>
      </c>
      <c r="L54" s="1" t="s">
        <v>10</v>
      </c>
      <c r="N54" s="1" t="s">
        <v>219</v>
      </c>
      <c r="P54" s="1" t="s">
        <v>234</v>
      </c>
      <c r="Q54" s="1" t="s">
        <v>42</v>
      </c>
      <c r="R54" s="1" t="s">
        <v>13</v>
      </c>
      <c r="S54" s="1">
        <f t="shared" si="1"/>
        <v>144.19999999999999</v>
      </c>
      <c r="T54" s="7">
        <v>45.3</v>
      </c>
    </row>
    <row r="55" spans="1:20" ht="15.75" customHeight="1" x14ac:dyDescent="0.2">
      <c r="A55" s="6">
        <v>55</v>
      </c>
      <c r="C55" s="1">
        <v>13</v>
      </c>
      <c r="D55" s="7">
        <v>4</v>
      </c>
      <c r="E55" s="7">
        <v>9</v>
      </c>
      <c r="F55" s="1" t="s">
        <v>12</v>
      </c>
      <c r="G55" s="1" t="s">
        <v>183</v>
      </c>
      <c r="H55" s="1" t="s">
        <v>380</v>
      </c>
      <c r="J55" s="9">
        <f t="shared" si="2"/>
        <v>104.39999999999999</v>
      </c>
      <c r="K55" s="1">
        <v>1300</v>
      </c>
      <c r="L55" s="1" t="s">
        <v>10</v>
      </c>
      <c r="N55" s="1" t="s">
        <v>219</v>
      </c>
      <c r="P55" s="1" t="s">
        <v>234</v>
      </c>
      <c r="Q55" s="1" t="s">
        <v>42</v>
      </c>
      <c r="R55" s="1" t="s">
        <v>13</v>
      </c>
      <c r="S55" s="1">
        <f t="shared" si="1"/>
        <v>104.39999999999999</v>
      </c>
      <c r="T55" s="7">
        <v>32.799999999999997</v>
      </c>
    </row>
    <row r="56" spans="1:20" ht="15.75" customHeight="1" x14ac:dyDescent="0.2">
      <c r="A56" s="6">
        <v>56</v>
      </c>
      <c r="C56" s="1">
        <v>13</v>
      </c>
      <c r="D56" s="7">
        <v>5</v>
      </c>
      <c r="E56" s="7">
        <v>8.5</v>
      </c>
      <c r="F56" s="1" t="s">
        <v>48</v>
      </c>
      <c r="G56" s="1" t="s">
        <v>189</v>
      </c>
      <c r="H56" s="1" t="s">
        <v>49</v>
      </c>
      <c r="J56" s="9">
        <f t="shared" si="2"/>
        <v>136.19999999999999</v>
      </c>
      <c r="K56" s="1">
        <v>1300</v>
      </c>
      <c r="L56" s="1" t="s">
        <v>10</v>
      </c>
      <c r="N56" s="1" t="s">
        <v>208</v>
      </c>
      <c r="P56" s="1" t="s">
        <v>234</v>
      </c>
      <c r="R56" s="1" t="s">
        <v>50</v>
      </c>
      <c r="S56" s="1">
        <f t="shared" si="1"/>
        <v>136.19999999999999</v>
      </c>
      <c r="T56" s="7">
        <v>42.8</v>
      </c>
    </row>
    <row r="57" spans="1:20" ht="15.75" customHeight="1" x14ac:dyDescent="0.2">
      <c r="A57" s="6">
        <v>57</v>
      </c>
      <c r="C57" s="1">
        <v>13</v>
      </c>
      <c r="D57" s="7">
        <v>3.5</v>
      </c>
      <c r="E57" s="7">
        <v>6.5</v>
      </c>
      <c r="F57" s="1" t="s">
        <v>15</v>
      </c>
      <c r="G57" s="1" t="s">
        <v>16</v>
      </c>
      <c r="H57" s="1" t="s">
        <v>271</v>
      </c>
      <c r="J57" s="9">
        <f t="shared" si="2"/>
        <v>174.1</v>
      </c>
      <c r="K57" s="1">
        <v>1300</v>
      </c>
      <c r="L57" s="1" t="s">
        <v>10</v>
      </c>
      <c r="N57" s="14" t="s">
        <v>293</v>
      </c>
      <c r="P57" s="1" t="s">
        <v>32</v>
      </c>
      <c r="S57" s="1">
        <f t="shared" si="1"/>
        <v>174.1</v>
      </c>
      <c r="T57" s="7">
        <v>54.7</v>
      </c>
    </row>
    <row r="58" spans="1:20" ht="15.75" customHeight="1" x14ac:dyDescent="0.2">
      <c r="A58" s="6">
        <v>58</v>
      </c>
      <c r="C58" s="1">
        <v>13</v>
      </c>
      <c r="D58" s="7">
        <v>6.5</v>
      </c>
      <c r="E58" s="7">
        <v>4.5</v>
      </c>
      <c r="F58" s="1" t="s">
        <v>59</v>
      </c>
      <c r="G58" s="1" t="s">
        <v>60</v>
      </c>
      <c r="H58" s="1" t="s">
        <v>255</v>
      </c>
      <c r="J58" s="9">
        <f t="shared" si="2"/>
        <v>195.79999999999998</v>
      </c>
      <c r="K58" s="1">
        <v>1300</v>
      </c>
      <c r="L58" s="1" t="s">
        <v>10</v>
      </c>
      <c r="N58" s="1" t="s">
        <v>210</v>
      </c>
      <c r="P58" s="1" t="s">
        <v>32</v>
      </c>
      <c r="S58" s="1">
        <f t="shared" si="1"/>
        <v>195.79999999999998</v>
      </c>
      <c r="T58" s="7">
        <v>61.5</v>
      </c>
    </row>
    <row r="59" spans="1:20" ht="15.75" customHeight="1" x14ac:dyDescent="0.2">
      <c r="A59" s="6">
        <v>59</v>
      </c>
      <c r="C59" s="1">
        <v>13</v>
      </c>
      <c r="D59" s="7">
        <v>9.1999999999999993</v>
      </c>
      <c r="E59" s="7">
        <v>5.3</v>
      </c>
      <c r="F59" s="1" t="s">
        <v>22</v>
      </c>
      <c r="G59" s="1" t="s">
        <v>195</v>
      </c>
      <c r="H59" s="1" t="s">
        <v>30</v>
      </c>
      <c r="J59" s="9">
        <f t="shared" si="2"/>
        <v>135</v>
      </c>
      <c r="K59" s="1">
        <v>1300</v>
      </c>
      <c r="L59" s="1" t="s">
        <v>10</v>
      </c>
      <c r="N59" s="1" t="s">
        <v>202</v>
      </c>
      <c r="P59" s="1" t="s">
        <v>234</v>
      </c>
      <c r="S59" s="1">
        <f t="shared" si="1"/>
        <v>135</v>
      </c>
      <c r="T59" s="2">
        <v>42.4</v>
      </c>
    </row>
    <row r="60" spans="1:20" ht="15.75" customHeight="1" x14ac:dyDescent="0.2">
      <c r="A60" s="6">
        <v>60</v>
      </c>
      <c r="C60" s="1">
        <v>13</v>
      </c>
      <c r="D60" s="7">
        <v>1.5</v>
      </c>
      <c r="E60" s="7">
        <v>3.5</v>
      </c>
      <c r="F60" s="1" t="s">
        <v>39</v>
      </c>
      <c r="G60" s="1" t="s">
        <v>201</v>
      </c>
      <c r="H60" s="1" t="s">
        <v>387</v>
      </c>
      <c r="J60" s="9">
        <f t="shared" si="2"/>
        <v>563.40000000000009</v>
      </c>
      <c r="K60" s="1">
        <v>1300</v>
      </c>
      <c r="L60" s="1" t="s">
        <v>5</v>
      </c>
      <c r="N60" s="1" t="s">
        <v>211</v>
      </c>
      <c r="P60" s="1" t="s">
        <v>32</v>
      </c>
      <c r="Q60" s="1" t="s">
        <v>61</v>
      </c>
      <c r="S60" s="1">
        <f t="shared" si="1"/>
        <v>563.40000000000009</v>
      </c>
      <c r="T60" s="7">
        <v>177</v>
      </c>
    </row>
    <row r="61" spans="1:20" ht="15.75" customHeight="1" x14ac:dyDescent="0.2">
      <c r="A61" s="6">
        <v>61</v>
      </c>
      <c r="C61" s="1">
        <v>14</v>
      </c>
      <c r="D61" s="7">
        <v>9.1999999999999993</v>
      </c>
      <c r="E61" s="7">
        <v>10</v>
      </c>
      <c r="F61" s="1" t="s">
        <v>22</v>
      </c>
      <c r="G61" s="1" t="s">
        <v>130</v>
      </c>
      <c r="H61" s="1" t="s">
        <v>62</v>
      </c>
      <c r="J61" s="9">
        <f t="shared" si="2"/>
        <v>148</v>
      </c>
      <c r="K61" s="1">
        <v>1300</v>
      </c>
      <c r="L61" s="1" t="s">
        <v>34</v>
      </c>
      <c r="N61" s="14" t="s">
        <v>322</v>
      </c>
      <c r="P61" s="1" t="s">
        <v>32</v>
      </c>
      <c r="Q61" s="1" t="s">
        <v>29</v>
      </c>
      <c r="S61" s="1">
        <f t="shared" si="1"/>
        <v>148</v>
      </c>
      <c r="T61" s="7">
        <v>46.5</v>
      </c>
    </row>
    <row r="62" spans="1:20" ht="15.75" customHeight="1" x14ac:dyDescent="0.2">
      <c r="A62" s="6">
        <v>62</v>
      </c>
      <c r="C62" s="1">
        <v>14</v>
      </c>
      <c r="D62" s="7">
        <v>9</v>
      </c>
      <c r="E62" s="7">
        <v>6</v>
      </c>
      <c r="F62" s="1" t="s">
        <v>12</v>
      </c>
      <c r="G62" s="1" t="s">
        <v>183</v>
      </c>
      <c r="H62" s="1" t="s">
        <v>380</v>
      </c>
      <c r="J62" s="9">
        <f t="shared" si="2"/>
        <v>140.39999999999998</v>
      </c>
      <c r="K62" s="1">
        <v>1300</v>
      </c>
      <c r="L62" s="1" t="s">
        <v>10</v>
      </c>
      <c r="N62" s="1" t="s">
        <v>219</v>
      </c>
      <c r="P62" s="1" t="s">
        <v>234</v>
      </c>
      <c r="Q62" s="1" t="s">
        <v>42</v>
      </c>
      <c r="R62" s="1" t="s">
        <v>13</v>
      </c>
      <c r="S62" s="1">
        <f t="shared" si="1"/>
        <v>140.39999999999998</v>
      </c>
      <c r="T62" s="7">
        <v>44.1</v>
      </c>
    </row>
    <row r="63" spans="1:20" ht="15.75" customHeight="1" x14ac:dyDescent="0.2">
      <c r="A63" s="6">
        <v>63</v>
      </c>
      <c r="C63" s="1">
        <v>14</v>
      </c>
      <c r="D63" s="7">
        <v>7</v>
      </c>
      <c r="E63" s="2">
        <v>6.5</v>
      </c>
      <c r="F63" s="1" t="s">
        <v>12</v>
      </c>
      <c r="G63" s="1" t="s">
        <v>183</v>
      </c>
      <c r="H63" s="1" t="s">
        <v>380</v>
      </c>
      <c r="J63" s="9">
        <f t="shared" si="2"/>
        <v>154.70000000000002</v>
      </c>
      <c r="K63" s="1">
        <v>1300</v>
      </c>
      <c r="L63" s="1" t="s">
        <v>19</v>
      </c>
      <c r="N63" s="1" t="s">
        <v>219</v>
      </c>
      <c r="P63" s="1" t="s">
        <v>234</v>
      </c>
      <c r="Q63" s="1" t="s">
        <v>63</v>
      </c>
      <c r="R63" s="1" t="s">
        <v>13</v>
      </c>
      <c r="S63" s="1">
        <f t="shared" si="1"/>
        <v>154.70000000000002</v>
      </c>
      <c r="T63" s="2">
        <v>48.6</v>
      </c>
    </row>
    <row r="64" spans="1:20" ht="15.75" customHeight="1" x14ac:dyDescent="0.2">
      <c r="A64" s="6">
        <v>64</v>
      </c>
      <c r="C64" s="1">
        <v>14</v>
      </c>
      <c r="D64" s="7">
        <v>9</v>
      </c>
      <c r="E64" s="7">
        <v>4.5</v>
      </c>
      <c r="F64" s="1" t="s">
        <v>48</v>
      </c>
      <c r="G64" s="1" t="s">
        <v>190</v>
      </c>
      <c r="H64" s="1" t="s">
        <v>249</v>
      </c>
      <c r="J64" s="9">
        <f t="shared" si="2"/>
        <v>135</v>
      </c>
      <c r="K64" s="1">
        <v>1300</v>
      </c>
      <c r="L64" s="1" t="s">
        <v>10</v>
      </c>
      <c r="N64" s="1" t="s">
        <v>212</v>
      </c>
      <c r="P64" s="1" t="s">
        <v>234</v>
      </c>
      <c r="S64" s="1">
        <f t="shared" si="1"/>
        <v>135</v>
      </c>
      <c r="T64" s="7">
        <v>42.4</v>
      </c>
    </row>
    <row r="65" spans="1:20" ht="15.75" customHeight="1" x14ac:dyDescent="0.2">
      <c r="A65" s="6">
        <v>65</v>
      </c>
      <c r="C65" s="1">
        <v>14</v>
      </c>
      <c r="D65" s="7">
        <v>5</v>
      </c>
      <c r="E65" s="7">
        <v>2.5</v>
      </c>
      <c r="F65" s="1" t="s">
        <v>48</v>
      </c>
      <c r="G65" s="1" t="s">
        <v>190</v>
      </c>
      <c r="H65" s="1" t="s">
        <v>249</v>
      </c>
      <c r="J65" s="9">
        <f t="shared" si="2"/>
        <v>125.39999999999999</v>
      </c>
      <c r="K65" s="1">
        <v>1300</v>
      </c>
      <c r="L65" s="1" t="s">
        <v>10</v>
      </c>
      <c r="N65" s="1" t="s">
        <v>212</v>
      </c>
      <c r="P65" s="1" t="s">
        <v>32</v>
      </c>
      <c r="S65" s="1">
        <f t="shared" si="1"/>
        <v>125.39999999999999</v>
      </c>
      <c r="T65" s="7">
        <v>39.4</v>
      </c>
    </row>
    <row r="66" spans="1:20" ht="15.75" customHeight="1" x14ac:dyDescent="0.2">
      <c r="A66" s="6">
        <v>66</v>
      </c>
      <c r="C66" s="1">
        <v>14</v>
      </c>
      <c r="D66" s="7">
        <v>3.5</v>
      </c>
      <c r="E66" s="7">
        <v>6</v>
      </c>
      <c r="F66" s="1" t="s">
        <v>48</v>
      </c>
      <c r="G66" s="1" t="s">
        <v>190</v>
      </c>
      <c r="H66" s="1" t="s">
        <v>249</v>
      </c>
      <c r="J66" s="9">
        <f t="shared" si="2"/>
        <v>198</v>
      </c>
      <c r="K66" s="1">
        <v>1300</v>
      </c>
      <c r="L66" s="1" t="s">
        <v>19</v>
      </c>
      <c r="N66" s="1" t="s">
        <v>212</v>
      </c>
      <c r="P66" s="1" t="s">
        <v>234</v>
      </c>
      <c r="S66" s="1">
        <f t="shared" si="1"/>
        <v>198</v>
      </c>
      <c r="T66" s="7">
        <v>62.2</v>
      </c>
    </row>
    <row r="67" spans="1:20" ht="15.75" customHeight="1" x14ac:dyDescent="0.2">
      <c r="A67" s="6">
        <v>67</v>
      </c>
      <c r="C67" s="1">
        <v>14</v>
      </c>
      <c r="D67" s="7">
        <v>0.8</v>
      </c>
      <c r="E67" s="7">
        <v>4.5</v>
      </c>
      <c r="F67" s="1" t="s">
        <v>12</v>
      </c>
      <c r="G67" s="1" t="s">
        <v>183</v>
      </c>
      <c r="H67" s="1" t="s">
        <v>380</v>
      </c>
      <c r="J67" s="9">
        <f t="shared" si="2"/>
        <v>114.60000000000001</v>
      </c>
      <c r="K67" s="1">
        <v>1300</v>
      </c>
      <c r="L67" s="1" t="s">
        <v>64</v>
      </c>
      <c r="N67" s="1" t="s">
        <v>219</v>
      </c>
      <c r="P67" s="1" t="s">
        <v>234</v>
      </c>
      <c r="Q67" s="1" t="s">
        <v>42</v>
      </c>
      <c r="R67" s="1" t="s">
        <v>13</v>
      </c>
      <c r="S67" s="1">
        <f t="shared" si="1"/>
        <v>114.60000000000001</v>
      </c>
      <c r="T67" s="7">
        <v>36</v>
      </c>
    </row>
    <row r="68" spans="1:20" ht="15.75" customHeight="1" x14ac:dyDescent="0.2">
      <c r="A68" s="6">
        <v>68</v>
      </c>
      <c r="C68" s="1">
        <v>14</v>
      </c>
      <c r="D68" s="7">
        <v>0.2</v>
      </c>
      <c r="E68" s="7">
        <v>0.1</v>
      </c>
      <c r="F68" s="1" t="s">
        <v>12</v>
      </c>
      <c r="G68" s="1" t="s">
        <v>183</v>
      </c>
      <c r="H68" s="1" t="s">
        <v>380</v>
      </c>
      <c r="J68" s="9">
        <f t="shared" si="2"/>
        <v>99</v>
      </c>
      <c r="K68" s="1">
        <v>1300</v>
      </c>
      <c r="L68" s="1" t="s">
        <v>10</v>
      </c>
      <c r="N68" s="1" t="s">
        <v>219</v>
      </c>
      <c r="P68" s="1" t="s">
        <v>234</v>
      </c>
      <c r="Q68" s="1" t="s">
        <v>42</v>
      </c>
      <c r="R68" s="1" t="s">
        <v>13</v>
      </c>
      <c r="S68" s="1">
        <f t="shared" si="1"/>
        <v>99</v>
      </c>
      <c r="T68" s="2">
        <v>31.1</v>
      </c>
    </row>
    <row r="69" spans="1:20" ht="15.75" customHeight="1" x14ac:dyDescent="0.2">
      <c r="A69" s="6">
        <v>69</v>
      </c>
      <c r="C69" s="1">
        <v>15</v>
      </c>
      <c r="D69" s="7">
        <v>4.5</v>
      </c>
      <c r="E69" s="7">
        <v>8</v>
      </c>
      <c r="F69" s="1" t="s">
        <v>12</v>
      </c>
      <c r="G69" s="1" t="s">
        <v>183</v>
      </c>
      <c r="H69" s="1" t="s">
        <v>380</v>
      </c>
      <c r="J69" s="9">
        <f t="shared" si="2"/>
        <v>293.2</v>
      </c>
      <c r="K69" s="1">
        <v>1300</v>
      </c>
      <c r="L69" s="1" t="s">
        <v>10</v>
      </c>
      <c r="N69" s="1" t="s">
        <v>219</v>
      </c>
      <c r="P69" s="1" t="s">
        <v>234</v>
      </c>
      <c r="Q69" s="1" t="s">
        <v>42</v>
      </c>
      <c r="R69" s="1" t="s">
        <v>13</v>
      </c>
      <c r="S69" s="1">
        <f t="shared" si="1"/>
        <v>293.2</v>
      </c>
      <c r="T69" s="7">
        <v>92.1</v>
      </c>
    </row>
    <row r="70" spans="1:20" ht="15.75" customHeight="1" x14ac:dyDescent="0.2">
      <c r="A70" s="6">
        <v>70</v>
      </c>
      <c r="C70" s="1">
        <v>15</v>
      </c>
      <c r="D70" s="7">
        <v>7</v>
      </c>
      <c r="E70" s="7">
        <v>7.5</v>
      </c>
      <c r="F70" s="1" t="s">
        <v>65</v>
      </c>
      <c r="G70" s="1" t="s">
        <v>182</v>
      </c>
      <c r="H70" s="1" t="s">
        <v>66</v>
      </c>
      <c r="J70" s="9">
        <f t="shared" si="2"/>
        <v>191</v>
      </c>
      <c r="K70" s="1">
        <v>1300</v>
      </c>
      <c r="L70" s="1" t="s">
        <v>10</v>
      </c>
      <c r="N70" s="1" t="s">
        <v>213</v>
      </c>
      <c r="P70" s="1" t="s">
        <v>32</v>
      </c>
      <c r="S70" s="1">
        <f t="shared" si="1"/>
        <v>191</v>
      </c>
      <c r="T70" s="7">
        <v>60</v>
      </c>
    </row>
    <row r="71" spans="1:20" ht="15.75" customHeight="1" x14ac:dyDescent="0.2">
      <c r="A71" s="6">
        <v>71</v>
      </c>
      <c r="C71" s="1">
        <v>15</v>
      </c>
      <c r="D71" s="1">
        <v>7</v>
      </c>
      <c r="E71" s="1">
        <v>8</v>
      </c>
      <c r="F71" s="1" t="s">
        <v>54</v>
      </c>
      <c r="G71" s="1" t="s">
        <v>274</v>
      </c>
      <c r="H71" s="1" t="s">
        <v>37</v>
      </c>
      <c r="J71" s="9">
        <f t="shared" si="2"/>
        <v>191</v>
      </c>
      <c r="K71" s="1">
        <v>1300</v>
      </c>
      <c r="L71" s="1" t="s">
        <v>10</v>
      </c>
      <c r="N71" s="14" t="s">
        <v>318</v>
      </c>
      <c r="P71" s="1" t="s">
        <v>234</v>
      </c>
      <c r="Q71" s="1" t="s">
        <v>67</v>
      </c>
      <c r="S71" s="1">
        <f t="shared" ref="S71:S134" si="3">ROUND(T71/PI(), 2) * 10</f>
        <v>191</v>
      </c>
      <c r="T71" s="2">
        <v>60</v>
      </c>
    </row>
    <row r="72" spans="1:20" ht="15.75" customHeight="1" x14ac:dyDescent="0.2">
      <c r="A72" s="6">
        <v>72</v>
      </c>
      <c r="C72" s="1">
        <v>15</v>
      </c>
      <c r="D72" s="1">
        <v>6</v>
      </c>
      <c r="E72" s="7">
        <v>6.5</v>
      </c>
      <c r="F72" s="1" t="s">
        <v>68</v>
      </c>
      <c r="G72" s="1" t="s">
        <v>366</v>
      </c>
      <c r="H72" s="1" t="s">
        <v>69</v>
      </c>
      <c r="J72" s="9">
        <f t="shared" si="2"/>
        <v>432.9</v>
      </c>
      <c r="K72" s="1">
        <v>1300</v>
      </c>
      <c r="L72" s="1" t="s">
        <v>10</v>
      </c>
      <c r="N72" s="14" t="s">
        <v>321</v>
      </c>
      <c r="P72" s="1" t="s">
        <v>32</v>
      </c>
      <c r="R72" s="1" t="s">
        <v>70</v>
      </c>
      <c r="S72" s="1">
        <f t="shared" si="3"/>
        <v>432.9</v>
      </c>
      <c r="T72" s="2">
        <v>136</v>
      </c>
    </row>
    <row r="73" spans="1:20" ht="15.75" customHeight="1" x14ac:dyDescent="0.2">
      <c r="A73" s="6">
        <v>73</v>
      </c>
      <c r="C73" s="1">
        <v>15</v>
      </c>
      <c r="D73" s="1">
        <v>1.1000000000000001</v>
      </c>
      <c r="E73" s="1">
        <v>1.1000000000000001</v>
      </c>
      <c r="F73" s="1" t="s">
        <v>39</v>
      </c>
      <c r="G73" s="1" t="s">
        <v>394</v>
      </c>
      <c r="H73" s="1" t="s">
        <v>66</v>
      </c>
      <c r="J73" s="9">
        <f t="shared" si="2"/>
        <v>227.3</v>
      </c>
      <c r="K73" s="1">
        <v>1300</v>
      </c>
      <c r="L73" s="1" t="s">
        <v>71</v>
      </c>
      <c r="N73" s="14" t="s">
        <v>287</v>
      </c>
      <c r="P73" s="1" t="s">
        <v>32</v>
      </c>
      <c r="S73" s="1">
        <f t="shared" si="3"/>
        <v>227.3</v>
      </c>
      <c r="T73" s="2">
        <v>71.400000000000006</v>
      </c>
    </row>
    <row r="74" spans="1:20" ht="15.75" customHeight="1" x14ac:dyDescent="0.2">
      <c r="A74" s="6">
        <v>74</v>
      </c>
      <c r="C74" s="1">
        <v>16</v>
      </c>
      <c r="D74" s="1">
        <v>3.5</v>
      </c>
      <c r="E74" s="7">
        <v>7</v>
      </c>
      <c r="F74" s="1" t="s">
        <v>186</v>
      </c>
      <c r="G74" s="1" t="s">
        <v>200</v>
      </c>
      <c r="H74" s="1" t="s">
        <v>255</v>
      </c>
      <c r="J74" s="9">
        <f t="shared" si="2"/>
        <v>261.3</v>
      </c>
      <c r="K74" s="1">
        <v>1300</v>
      </c>
      <c r="L74" s="1" t="s">
        <v>55</v>
      </c>
      <c r="N74" s="1" t="s">
        <v>228</v>
      </c>
      <c r="P74" s="1" t="s">
        <v>234</v>
      </c>
      <c r="S74" s="1">
        <f t="shared" si="3"/>
        <v>261.3</v>
      </c>
      <c r="T74" s="2">
        <v>82.1</v>
      </c>
    </row>
    <row r="75" spans="1:20" ht="15.75" customHeight="1" x14ac:dyDescent="0.2">
      <c r="A75" s="6">
        <v>75</v>
      </c>
      <c r="C75" s="1">
        <v>16</v>
      </c>
      <c r="D75" s="1">
        <v>4</v>
      </c>
      <c r="E75" s="1">
        <v>4.5</v>
      </c>
      <c r="F75" s="1" t="s">
        <v>186</v>
      </c>
      <c r="G75" s="1" t="s">
        <v>200</v>
      </c>
      <c r="H75" s="1" t="s">
        <v>255</v>
      </c>
      <c r="J75" s="9">
        <f t="shared" si="2"/>
        <v>210.10000000000002</v>
      </c>
      <c r="K75" s="1">
        <v>1300</v>
      </c>
      <c r="L75" s="1" t="s">
        <v>55</v>
      </c>
      <c r="N75" s="1" t="s">
        <v>228</v>
      </c>
      <c r="P75" s="1" t="s">
        <v>234</v>
      </c>
      <c r="S75" s="1">
        <f t="shared" si="3"/>
        <v>210.10000000000002</v>
      </c>
      <c r="T75" s="2">
        <v>66</v>
      </c>
    </row>
    <row r="76" spans="1:20" ht="15.75" customHeight="1" x14ac:dyDescent="0.2">
      <c r="A76" s="6">
        <v>76</v>
      </c>
      <c r="C76" s="1">
        <v>16</v>
      </c>
      <c r="D76" s="1">
        <v>7.5</v>
      </c>
      <c r="E76" s="7">
        <v>5</v>
      </c>
      <c r="F76" s="1" t="s">
        <v>76</v>
      </c>
      <c r="G76" s="1" t="s">
        <v>178</v>
      </c>
      <c r="H76" s="1" t="s">
        <v>253</v>
      </c>
      <c r="J76" s="9">
        <f t="shared" ref="J76:J139" si="4">S76</f>
        <v>132.10000000000002</v>
      </c>
      <c r="K76" s="1">
        <v>1300</v>
      </c>
      <c r="L76" s="1" t="s">
        <v>10</v>
      </c>
      <c r="N76" s="14" t="s">
        <v>303</v>
      </c>
      <c r="P76" s="1" t="s">
        <v>32</v>
      </c>
      <c r="S76" s="1">
        <f t="shared" si="3"/>
        <v>132.10000000000002</v>
      </c>
      <c r="T76" s="2">
        <v>41.5</v>
      </c>
    </row>
    <row r="77" spans="1:20" ht="15.75" customHeight="1" x14ac:dyDescent="0.2">
      <c r="A77" s="6">
        <v>77</v>
      </c>
      <c r="C77" s="1">
        <v>16</v>
      </c>
      <c r="D77" s="1">
        <v>5</v>
      </c>
      <c r="E77" s="1">
        <v>5</v>
      </c>
      <c r="F77" s="1" t="s">
        <v>65</v>
      </c>
      <c r="G77" s="1" t="s">
        <v>182</v>
      </c>
      <c r="H77" s="1" t="s">
        <v>66</v>
      </c>
      <c r="J77" s="9">
        <f t="shared" si="4"/>
        <v>236.5</v>
      </c>
      <c r="K77" s="1">
        <v>1300</v>
      </c>
      <c r="L77" s="1" t="s">
        <v>10</v>
      </c>
      <c r="N77" s="1" t="s">
        <v>213</v>
      </c>
      <c r="P77" s="1" t="s">
        <v>234</v>
      </c>
      <c r="R77" s="10"/>
      <c r="S77" s="1">
        <f t="shared" si="3"/>
        <v>236.5</v>
      </c>
      <c r="T77" s="2">
        <v>74.3</v>
      </c>
    </row>
    <row r="78" spans="1:20" ht="15.75" customHeight="1" x14ac:dyDescent="0.2">
      <c r="A78" s="6">
        <v>78</v>
      </c>
      <c r="C78" s="1">
        <v>16</v>
      </c>
      <c r="D78" s="1">
        <v>5</v>
      </c>
      <c r="E78" s="1">
        <v>5</v>
      </c>
      <c r="F78" s="1" t="s">
        <v>20</v>
      </c>
      <c r="G78" s="1" t="s">
        <v>101</v>
      </c>
      <c r="H78" s="1" t="s">
        <v>244</v>
      </c>
      <c r="J78" s="9">
        <f t="shared" si="4"/>
        <v>139.1</v>
      </c>
      <c r="K78" s="1">
        <v>2000</v>
      </c>
      <c r="L78" s="1" t="s">
        <v>10</v>
      </c>
      <c r="Q78" s="1" t="s">
        <v>72</v>
      </c>
      <c r="S78" s="1">
        <f t="shared" si="3"/>
        <v>139.1</v>
      </c>
      <c r="T78" s="2">
        <v>43.7</v>
      </c>
    </row>
    <row r="79" spans="1:20" ht="15.75" customHeight="1" x14ac:dyDescent="0.2">
      <c r="A79" s="6">
        <v>79</v>
      </c>
      <c r="C79" s="1">
        <v>16</v>
      </c>
      <c r="D79" s="1">
        <v>9</v>
      </c>
      <c r="E79" s="1">
        <v>5.5</v>
      </c>
      <c r="F79" s="1" t="s">
        <v>22</v>
      </c>
      <c r="G79" s="1" t="s">
        <v>191</v>
      </c>
      <c r="H79" s="1" t="s">
        <v>245</v>
      </c>
      <c r="J79" s="9">
        <f t="shared" si="4"/>
        <v>122.2</v>
      </c>
      <c r="K79" s="1">
        <v>1300</v>
      </c>
      <c r="L79" s="1" t="s">
        <v>10</v>
      </c>
      <c r="N79" s="1" t="s">
        <v>214</v>
      </c>
      <c r="P79" s="1" t="s">
        <v>234</v>
      </c>
      <c r="Q79" s="1" t="s">
        <v>26</v>
      </c>
      <c r="S79" s="1">
        <f t="shared" si="3"/>
        <v>122.2</v>
      </c>
      <c r="T79" s="2">
        <v>38.4</v>
      </c>
    </row>
    <row r="80" spans="1:20" ht="15.75" customHeight="1" x14ac:dyDescent="0.2">
      <c r="A80" s="6">
        <v>80</v>
      </c>
      <c r="C80" s="1">
        <v>17</v>
      </c>
      <c r="D80" s="1">
        <v>5</v>
      </c>
      <c r="E80" s="1">
        <v>8.5</v>
      </c>
      <c r="F80" s="1" t="s">
        <v>22</v>
      </c>
      <c r="G80" s="1" t="s">
        <v>195</v>
      </c>
      <c r="H80" s="1" t="s">
        <v>30</v>
      </c>
      <c r="J80" s="9">
        <f t="shared" si="4"/>
        <v>124.1</v>
      </c>
      <c r="K80" s="1">
        <v>1300</v>
      </c>
      <c r="L80" s="1" t="s">
        <v>10</v>
      </c>
      <c r="N80" s="1" t="s">
        <v>202</v>
      </c>
      <c r="P80" s="1" t="s">
        <v>234</v>
      </c>
      <c r="Q80" s="1" t="s">
        <v>73</v>
      </c>
      <c r="S80" s="1">
        <f t="shared" si="3"/>
        <v>124.1</v>
      </c>
      <c r="T80" s="2">
        <v>39</v>
      </c>
    </row>
    <row r="81" spans="1:20" ht="15.75" customHeight="1" x14ac:dyDescent="0.2">
      <c r="A81" s="6">
        <v>81</v>
      </c>
      <c r="C81" s="1">
        <v>17</v>
      </c>
      <c r="D81" s="1">
        <v>2</v>
      </c>
      <c r="E81" s="1">
        <v>8.5</v>
      </c>
      <c r="F81" s="1" t="s">
        <v>9</v>
      </c>
      <c r="G81" s="1" t="s">
        <v>368</v>
      </c>
      <c r="H81" s="8" t="s">
        <v>384</v>
      </c>
      <c r="J81" s="9">
        <f t="shared" si="4"/>
        <v>144.80000000000001</v>
      </c>
      <c r="K81" s="1">
        <v>1300</v>
      </c>
      <c r="L81" s="1" t="s">
        <v>19</v>
      </c>
      <c r="N81" s="1" t="s">
        <v>203</v>
      </c>
      <c r="P81" s="1" t="s">
        <v>234</v>
      </c>
      <c r="Q81" s="1" t="s">
        <v>74</v>
      </c>
      <c r="S81" s="1">
        <f t="shared" si="3"/>
        <v>144.80000000000001</v>
      </c>
      <c r="T81" s="2">
        <v>45.5</v>
      </c>
    </row>
    <row r="82" spans="1:20" ht="15.75" customHeight="1" x14ac:dyDescent="0.2">
      <c r="A82" s="6">
        <v>82</v>
      </c>
      <c r="C82" s="1">
        <v>17</v>
      </c>
      <c r="D82" s="1">
        <v>4</v>
      </c>
      <c r="E82" s="1">
        <v>6</v>
      </c>
      <c r="F82" s="1" t="s">
        <v>12</v>
      </c>
      <c r="G82" s="1" t="s">
        <v>183</v>
      </c>
      <c r="H82" s="1" t="s">
        <v>380</v>
      </c>
      <c r="J82" s="9">
        <f t="shared" si="4"/>
        <v>183</v>
      </c>
      <c r="K82" s="1">
        <v>1300</v>
      </c>
      <c r="L82" s="1" t="s">
        <v>10</v>
      </c>
      <c r="N82" s="1" t="s">
        <v>219</v>
      </c>
      <c r="P82" s="1" t="s">
        <v>234</v>
      </c>
      <c r="Q82" s="1" t="s">
        <v>42</v>
      </c>
      <c r="R82" s="1" t="s">
        <v>13</v>
      </c>
      <c r="S82" s="1">
        <f t="shared" si="3"/>
        <v>183</v>
      </c>
      <c r="T82" s="2">
        <v>57.5</v>
      </c>
    </row>
    <row r="83" spans="1:20" ht="15.75" customHeight="1" x14ac:dyDescent="0.2">
      <c r="A83" s="6">
        <v>83</v>
      </c>
      <c r="C83" s="1">
        <v>17</v>
      </c>
      <c r="D83" s="1">
        <v>5</v>
      </c>
      <c r="E83" s="1">
        <v>3</v>
      </c>
      <c r="F83" s="1" t="s">
        <v>22</v>
      </c>
      <c r="G83" s="1" t="s">
        <v>191</v>
      </c>
      <c r="H83" s="1" t="s">
        <v>245</v>
      </c>
      <c r="J83" s="9">
        <f t="shared" si="4"/>
        <v>278.2</v>
      </c>
      <c r="K83" s="1">
        <v>1300</v>
      </c>
      <c r="L83" s="1" t="s">
        <v>10</v>
      </c>
      <c r="N83" s="1" t="s">
        <v>214</v>
      </c>
      <c r="P83" s="1" t="s">
        <v>234</v>
      </c>
      <c r="Q83" s="1" t="s">
        <v>75</v>
      </c>
      <c r="S83" s="1">
        <f t="shared" si="3"/>
        <v>278.2</v>
      </c>
      <c r="T83" s="2">
        <v>87.4</v>
      </c>
    </row>
    <row r="84" spans="1:20" ht="15.75" customHeight="1" x14ac:dyDescent="0.2">
      <c r="A84" s="6">
        <v>84</v>
      </c>
      <c r="C84" s="1">
        <v>17</v>
      </c>
      <c r="D84" s="1">
        <v>9.5</v>
      </c>
      <c r="E84" s="1">
        <v>3.5</v>
      </c>
      <c r="F84" s="1" t="s">
        <v>9</v>
      </c>
      <c r="G84" s="1" t="s">
        <v>368</v>
      </c>
      <c r="H84" s="8" t="s">
        <v>384</v>
      </c>
      <c r="J84" s="9">
        <f t="shared" si="4"/>
        <v>169.7</v>
      </c>
      <c r="K84" s="1">
        <v>1300</v>
      </c>
      <c r="L84" s="1" t="s">
        <v>10</v>
      </c>
      <c r="N84" s="1" t="s">
        <v>237</v>
      </c>
      <c r="P84" s="1" t="s">
        <v>32</v>
      </c>
      <c r="Q84" s="1" t="s">
        <v>35</v>
      </c>
      <c r="S84" s="1">
        <f t="shared" si="3"/>
        <v>169.7</v>
      </c>
      <c r="T84" s="2">
        <v>53.3</v>
      </c>
    </row>
    <row r="85" spans="1:20" ht="15.75" customHeight="1" x14ac:dyDescent="0.2">
      <c r="A85" s="6">
        <v>85</v>
      </c>
      <c r="C85" s="1">
        <v>18</v>
      </c>
      <c r="D85" s="1">
        <v>7</v>
      </c>
      <c r="E85" s="1">
        <v>6.5</v>
      </c>
      <c r="F85" s="1" t="s">
        <v>76</v>
      </c>
      <c r="G85" s="1" t="s">
        <v>77</v>
      </c>
      <c r="H85" s="1" t="s">
        <v>257</v>
      </c>
      <c r="I85" s="1" t="s">
        <v>187</v>
      </c>
      <c r="J85" s="9">
        <f t="shared" si="4"/>
        <v>280.10000000000002</v>
      </c>
      <c r="K85" s="1">
        <v>1300</v>
      </c>
      <c r="L85" s="1" t="s">
        <v>10</v>
      </c>
      <c r="N85" s="1" t="s">
        <v>230</v>
      </c>
      <c r="P85" s="1" t="s">
        <v>234</v>
      </c>
      <c r="S85" s="1">
        <f t="shared" si="3"/>
        <v>280.10000000000002</v>
      </c>
      <c r="T85" s="2">
        <v>88</v>
      </c>
    </row>
    <row r="86" spans="1:20" ht="15.75" customHeight="1" x14ac:dyDescent="0.2">
      <c r="A86" s="6">
        <v>86</v>
      </c>
      <c r="C86" s="1">
        <v>18</v>
      </c>
      <c r="D86" s="1">
        <v>7.5</v>
      </c>
      <c r="E86" s="1">
        <v>6</v>
      </c>
      <c r="F86" s="1" t="s">
        <v>12</v>
      </c>
      <c r="G86" s="1" t="s">
        <v>183</v>
      </c>
      <c r="H86" s="1" t="s">
        <v>380</v>
      </c>
      <c r="J86" s="9">
        <f t="shared" si="4"/>
        <v>148.69999999999999</v>
      </c>
      <c r="K86" s="1">
        <v>1300</v>
      </c>
      <c r="L86" s="1" t="s">
        <v>10</v>
      </c>
      <c r="N86" s="1" t="s">
        <v>219</v>
      </c>
      <c r="P86" s="1" t="s">
        <v>234</v>
      </c>
      <c r="Q86" s="1" t="s">
        <v>42</v>
      </c>
      <c r="R86" s="1" t="s">
        <v>13</v>
      </c>
      <c r="S86" s="1">
        <f t="shared" si="3"/>
        <v>148.69999999999999</v>
      </c>
      <c r="T86" s="2">
        <v>46.7</v>
      </c>
    </row>
    <row r="87" spans="1:20" ht="15.75" customHeight="1" x14ac:dyDescent="0.2">
      <c r="A87" s="6">
        <v>87</v>
      </c>
      <c r="C87" s="1">
        <v>18</v>
      </c>
      <c r="D87" s="1">
        <v>0.5</v>
      </c>
      <c r="E87" s="1">
        <v>3</v>
      </c>
      <c r="F87" s="1" t="s">
        <v>12</v>
      </c>
      <c r="G87" s="1" t="s">
        <v>183</v>
      </c>
      <c r="H87" s="1" t="s">
        <v>380</v>
      </c>
      <c r="J87" s="9">
        <f t="shared" si="4"/>
        <v>140.1</v>
      </c>
      <c r="K87" s="1">
        <v>1300</v>
      </c>
      <c r="L87" s="1" t="s">
        <v>5</v>
      </c>
      <c r="N87" s="1" t="s">
        <v>219</v>
      </c>
      <c r="P87" s="1" t="s">
        <v>234</v>
      </c>
      <c r="Q87" s="1" t="s">
        <v>42</v>
      </c>
      <c r="R87" s="1" t="s">
        <v>13</v>
      </c>
      <c r="S87" s="1">
        <f t="shared" si="3"/>
        <v>140.1</v>
      </c>
      <c r="T87" s="2">
        <v>44</v>
      </c>
    </row>
    <row r="88" spans="1:20" ht="15.75" customHeight="1" x14ac:dyDescent="0.2">
      <c r="A88" s="6">
        <v>88</v>
      </c>
      <c r="C88" s="1">
        <v>19</v>
      </c>
      <c r="D88" s="1">
        <v>8</v>
      </c>
      <c r="E88" s="1">
        <v>9</v>
      </c>
      <c r="F88" s="1" t="s">
        <v>12</v>
      </c>
      <c r="G88" s="1" t="s">
        <v>196</v>
      </c>
      <c r="H88" s="1" t="s">
        <v>379</v>
      </c>
      <c r="J88" s="9">
        <f t="shared" si="4"/>
        <v>563.40000000000009</v>
      </c>
      <c r="K88" s="1">
        <v>1300</v>
      </c>
      <c r="L88" s="1" t="s">
        <v>10</v>
      </c>
      <c r="N88" s="1" t="s">
        <v>219</v>
      </c>
      <c r="P88" s="1" t="s">
        <v>234</v>
      </c>
      <c r="Q88" s="1" t="s">
        <v>267</v>
      </c>
      <c r="R88" s="1" t="s">
        <v>13</v>
      </c>
      <c r="S88" s="1">
        <f t="shared" si="3"/>
        <v>563.40000000000009</v>
      </c>
      <c r="T88" s="2">
        <v>177</v>
      </c>
    </row>
    <row r="89" spans="1:20" ht="15.75" customHeight="1" x14ac:dyDescent="0.2">
      <c r="A89" s="6">
        <v>89</v>
      </c>
      <c r="C89" s="1">
        <v>19</v>
      </c>
      <c r="D89" s="1">
        <v>9</v>
      </c>
      <c r="E89" s="1">
        <v>3</v>
      </c>
      <c r="F89" s="1" t="s">
        <v>86</v>
      </c>
      <c r="G89" s="1" t="s">
        <v>197</v>
      </c>
      <c r="H89" s="8" t="s">
        <v>250</v>
      </c>
      <c r="J89" s="9">
        <f t="shared" si="4"/>
        <v>150.6</v>
      </c>
      <c r="K89" s="1">
        <v>1600</v>
      </c>
      <c r="L89" s="1" t="s">
        <v>34</v>
      </c>
      <c r="N89" s="1" t="s">
        <v>204</v>
      </c>
      <c r="P89" s="1" t="s">
        <v>234</v>
      </c>
      <c r="S89" s="1">
        <f t="shared" si="3"/>
        <v>150.6</v>
      </c>
      <c r="T89" s="2">
        <v>47.3</v>
      </c>
    </row>
    <row r="90" spans="1:20" ht="15.75" customHeight="1" x14ac:dyDescent="0.2">
      <c r="A90" s="6">
        <v>90</v>
      </c>
      <c r="C90" s="1">
        <v>20</v>
      </c>
      <c r="D90" s="1">
        <v>4</v>
      </c>
      <c r="E90" s="1">
        <v>8.5</v>
      </c>
      <c r="F90" s="1" t="s">
        <v>86</v>
      </c>
      <c r="G90" s="1" t="s">
        <v>197</v>
      </c>
      <c r="H90" s="8" t="s">
        <v>250</v>
      </c>
      <c r="J90" s="9">
        <f t="shared" si="4"/>
        <v>323.7</v>
      </c>
      <c r="K90" s="1">
        <v>1300</v>
      </c>
      <c r="L90" s="1" t="s">
        <v>10</v>
      </c>
      <c r="N90" s="1" t="s">
        <v>204</v>
      </c>
      <c r="P90" s="1" t="s">
        <v>234</v>
      </c>
      <c r="S90" s="1">
        <f t="shared" si="3"/>
        <v>323.7</v>
      </c>
      <c r="T90" s="2">
        <v>101.7</v>
      </c>
    </row>
    <row r="91" spans="1:20" ht="15.75" customHeight="1" x14ac:dyDescent="0.2">
      <c r="A91" s="6">
        <v>91</v>
      </c>
      <c r="C91" s="1">
        <v>20</v>
      </c>
      <c r="D91" s="1">
        <v>9</v>
      </c>
      <c r="E91" s="1">
        <v>8.5</v>
      </c>
      <c r="F91" s="1" t="s">
        <v>78</v>
      </c>
      <c r="G91" s="1" t="s">
        <v>371</v>
      </c>
      <c r="H91" s="1" t="s">
        <v>79</v>
      </c>
      <c r="J91" s="9">
        <f t="shared" si="4"/>
        <v>293.8</v>
      </c>
      <c r="K91" s="1">
        <v>2600</v>
      </c>
      <c r="L91" s="1" t="s">
        <v>10</v>
      </c>
      <c r="N91" s="14" t="s">
        <v>346</v>
      </c>
      <c r="P91" s="1" t="s">
        <v>234</v>
      </c>
      <c r="S91" s="1">
        <f t="shared" si="3"/>
        <v>293.8</v>
      </c>
      <c r="T91" s="2">
        <v>92.3</v>
      </c>
    </row>
    <row r="92" spans="1:20" ht="15.75" customHeight="1" x14ac:dyDescent="0.2">
      <c r="A92" s="6">
        <v>92</v>
      </c>
      <c r="C92" s="1">
        <v>20</v>
      </c>
      <c r="D92" s="1">
        <v>3</v>
      </c>
      <c r="E92" s="1">
        <v>8</v>
      </c>
      <c r="F92" s="1" t="s">
        <v>12</v>
      </c>
      <c r="G92" s="1" t="s">
        <v>183</v>
      </c>
      <c r="H92" s="1" t="s">
        <v>380</v>
      </c>
      <c r="J92" s="9">
        <f t="shared" si="4"/>
        <v>264.20000000000005</v>
      </c>
      <c r="K92" s="1">
        <v>1300</v>
      </c>
      <c r="L92" s="1" t="s">
        <v>10</v>
      </c>
      <c r="N92" s="1" t="s">
        <v>219</v>
      </c>
      <c r="P92" s="1" t="s">
        <v>234</v>
      </c>
      <c r="Q92" s="1" t="s">
        <v>42</v>
      </c>
      <c r="R92" s="1" t="s">
        <v>13</v>
      </c>
      <c r="S92" s="1">
        <f t="shared" si="3"/>
        <v>264.20000000000005</v>
      </c>
      <c r="T92" s="2">
        <v>83</v>
      </c>
    </row>
    <row r="93" spans="1:20" ht="15.75" customHeight="1" x14ac:dyDescent="0.2">
      <c r="A93" s="6">
        <v>93</v>
      </c>
      <c r="C93" s="1">
        <v>20</v>
      </c>
      <c r="D93" s="1">
        <v>7</v>
      </c>
      <c r="E93" s="1">
        <v>3.5</v>
      </c>
      <c r="F93" s="1" t="s">
        <v>22</v>
      </c>
      <c r="G93" s="1" t="s">
        <v>191</v>
      </c>
      <c r="H93" s="1" t="s">
        <v>245</v>
      </c>
      <c r="J93" s="9">
        <f t="shared" si="4"/>
        <v>392.2</v>
      </c>
      <c r="K93" s="1">
        <v>1800</v>
      </c>
      <c r="L93" s="1" t="s">
        <v>10</v>
      </c>
      <c r="N93" s="1" t="s">
        <v>214</v>
      </c>
      <c r="P93" s="1" t="s">
        <v>234</v>
      </c>
      <c r="Q93" s="1" t="s">
        <v>80</v>
      </c>
      <c r="S93" s="1">
        <f t="shared" si="3"/>
        <v>392.2</v>
      </c>
      <c r="T93" s="2">
        <v>123.2</v>
      </c>
    </row>
    <row r="94" spans="1:20" ht="15.75" customHeight="1" x14ac:dyDescent="0.2">
      <c r="A94" s="6">
        <v>94</v>
      </c>
      <c r="C94" s="1">
        <v>20</v>
      </c>
      <c r="D94" s="1">
        <v>7</v>
      </c>
      <c r="E94" s="1">
        <v>1</v>
      </c>
      <c r="F94" s="1" t="s">
        <v>81</v>
      </c>
      <c r="G94" s="1" t="s">
        <v>381</v>
      </c>
      <c r="H94" s="1" t="s">
        <v>383</v>
      </c>
      <c r="J94" s="9">
        <f t="shared" si="4"/>
        <v>339</v>
      </c>
      <c r="K94" s="1">
        <v>1300</v>
      </c>
      <c r="L94" s="1" t="s">
        <v>10</v>
      </c>
      <c r="N94" s="1" t="s">
        <v>238</v>
      </c>
      <c r="P94" s="1" t="s">
        <v>32</v>
      </c>
      <c r="S94" s="1">
        <f t="shared" si="3"/>
        <v>339</v>
      </c>
      <c r="T94" s="2">
        <v>106.5</v>
      </c>
    </row>
    <row r="95" spans="1:20" ht="15.75" customHeight="1" x14ac:dyDescent="0.2">
      <c r="A95" s="6">
        <v>95</v>
      </c>
      <c r="C95" s="1">
        <v>21</v>
      </c>
      <c r="D95" s="1">
        <v>2.5</v>
      </c>
      <c r="E95" s="1">
        <v>1.5</v>
      </c>
      <c r="F95" s="1" t="s">
        <v>65</v>
      </c>
      <c r="G95" s="1" t="s">
        <v>182</v>
      </c>
      <c r="H95" s="1" t="s">
        <v>66</v>
      </c>
      <c r="J95" s="9">
        <f t="shared" si="4"/>
        <v>159.19999999999999</v>
      </c>
      <c r="K95" s="1">
        <v>1300</v>
      </c>
      <c r="L95" s="1" t="s">
        <v>34</v>
      </c>
      <c r="N95" s="1" t="s">
        <v>213</v>
      </c>
      <c r="P95" s="1" t="s">
        <v>234</v>
      </c>
      <c r="S95" s="1">
        <f t="shared" si="3"/>
        <v>159.19999999999999</v>
      </c>
      <c r="T95" s="2">
        <v>50</v>
      </c>
    </row>
    <row r="96" spans="1:20" ht="15.75" customHeight="1" x14ac:dyDescent="0.2">
      <c r="A96" s="6">
        <v>96</v>
      </c>
      <c r="C96" s="1">
        <v>21</v>
      </c>
      <c r="D96" s="1">
        <v>6.5</v>
      </c>
      <c r="E96" s="1">
        <v>3.5</v>
      </c>
      <c r="F96" s="1" t="s">
        <v>15</v>
      </c>
      <c r="G96" s="1" t="s">
        <v>16</v>
      </c>
      <c r="H96" s="1" t="s">
        <v>253</v>
      </c>
      <c r="J96" s="9">
        <f t="shared" si="4"/>
        <v>100.60000000000001</v>
      </c>
      <c r="K96" s="1">
        <v>1300</v>
      </c>
      <c r="L96" s="1" t="s">
        <v>34</v>
      </c>
      <c r="N96" s="1" t="s">
        <v>239</v>
      </c>
      <c r="P96" s="1" t="s">
        <v>32</v>
      </c>
      <c r="S96" s="1">
        <f t="shared" si="3"/>
        <v>100.60000000000001</v>
      </c>
      <c r="T96" s="2">
        <v>31.6</v>
      </c>
    </row>
    <row r="97" spans="1:20" ht="15.75" customHeight="1" x14ac:dyDescent="0.2">
      <c r="A97" s="6">
        <v>97</v>
      </c>
      <c r="C97" s="1">
        <v>21</v>
      </c>
      <c r="D97" s="1">
        <v>4</v>
      </c>
      <c r="E97" s="1">
        <v>7</v>
      </c>
      <c r="F97" s="1" t="s">
        <v>78</v>
      </c>
      <c r="G97" s="1" t="s">
        <v>243</v>
      </c>
      <c r="H97" s="1" t="s">
        <v>95</v>
      </c>
      <c r="J97" s="9">
        <f t="shared" si="4"/>
        <v>183.70000000000002</v>
      </c>
      <c r="K97" s="1">
        <v>1300</v>
      </c>
      <c r="L97" s="1" t="s">
        <v>10</v>
      </c>
      <c r="N97" s="1" t="s">
        <v>240</v>
      </c>
      <c r="P97" s="1" t="s">
        <v>32</v>
      </c>
      <c r="S97" s="1">
        <f t="shared" si="3"/>
        <v>183.70000000000002</v>
      </c>
      <c r="T97" s="2">
        <v>57.7</v>
      </c>
    </row>
    <row r="98" spans="1:20" ht="15.75" customHeight="1" x14ac:dyDescent="0.2">
      <c r="A98" s="6">
        <v>98</v>
      </c>
      <c r="C98" s="1">
        <v>21</v>
      </c>
      <c r="D98" s="1">
        <v>7</v>
      </c>
      <c r="E98" s="1">
        <v>5</v>
      </c>
      <c r="F98" s="1" t="s">
        <v>22</v>
      </c>
      <c r="G98" s="1" t="s">
        <v>191</v>
      </c>
      <c r="H98" s="1" t="s">
        <v>245</v>
      </c>
      <c r="J98" s="9">
        <f t="shared" si="4"/>
        <v>112.69999999999999</v>
      </c>
      <c r="K98" s="1">
        <v>1300</v>
      </c>
      <c r="L98" s="1" t="s">
        <v>10</v>
      </c>
      <c r="N98" s="1" t="s">
        <v>214</v>
      </c>
      <c r="P98" s="1" t="s">
        <v>234</v>
      </c>
      <c r="Q98" s="1" t="s">
        <v>82</v>
      </c>
      <c r="S98" s="1">
        <f t="shared" si="3"/>
        <v>112.69999999999999</v>
      </c>
      <c r="T98" s="2">
        <v>35.4</v>
      </c>
    </row>
    <row r="99" spans="1:20" ht="15.75" customHeight="1" x14ac:dyDescent="0.2">
      <c r="A99" s="6">
        <v>99</v>
      </c>
      <c r="C99" s="1">
        <v>21</v>
      </c>
      <c r="D99" s="1">
        <v>6.8</v>
      </c>
      <c r="E99" s="1">
        <v>6</v>
      </c>
      <c r="F99" s="1" t="s">
        <v>22</v>
      </c>
      <c r="G99" s="1" t="s">
        <v>195</v>
      </c>
      <c r="H99" s="1" t="s">
        <v>30</v>
      </c>
      <c r="J99" s="9">
        <f t="shared" si="4"/>
        <v>184.60000000000002</v>
      </c>
      <c r="K99" s="1">
        <v>1300</v>
      </c>
      <c r="L99" s="1" t="s">
        <v>10</v>
      </c>
      <c r="N99" s="1" t="s">
        <v>202</v>
      </c>
      <c r="P99" s="1" t="s">
        <v>234</v>
      </c>
      <c r="Q99" s="1" t="s">
        <v>35</v>
      </c>
      <c r="S99" s="1">
        <f t="shared" si="3"/>
        <v>184.60000000000002</v>
      </c>
      <c r="T99" s="2">
        <v>58</v>
      </c>
    </row>
    <row r="100" spans="1:20" ht="15.75" customHeight="1" x14ac:dyDescent="0.2">
      <c r="A100" s="6">
        <v>100</v>
      </c>
      <c r="C100" s="1">
        <v>21</v>
      </c>
      <c r="D100" s="1">
        <v>7</v>
      </c>
      <c r="E100" s="1">
        <v>8</v>
      </c>
      <c r="F100" s="1" t="s">
        <v>9</v>
      </c>
      <c r="G100" s="1" t="s">
        <v>368</v>
      </c>
      <c r="H100" s="8" t="s">
        <v>384</v>
      </c>
      <c r="J100" s="9">
        <f t="shared" si="4"/>
        <v>104.1</v>
      </c>
      <c r="K100" s="1">
        <v>1300</v>
      </c>
      <c r="L100" s="1" t="s">
        <v>10</v>
      </c>
      <c r="N100" s="1" t="s">
        <v>203</v>
      </c>
      <c r="P100" s="1" t="s">
        <v>234</v>
      </c>
      <c r="S100" s="1">
        <f t="shared" si="3"/>
        <v>104.1</v>
      </c>
      <c r="T100" s="2">
        <v>32.700000000000003</v>
      </c>
    </row>
    <row r="101" spans="1:20" ht="15.75" customHeight="1" x14ac:dyDescent="0.2">
      <c r="A101" s="6">
        <v>101</v>
      </c>
      <c r="C101" s="1">
        <v>22</v>
      </c>
      <c r="D101" s="1">
        <v>1.5</v>
      </c>
      <c r="E101" s="1">
        <v>1</v>
      </c>
      <c r="F101" s="1" t="s">
        <v>12</v>
      </c>
      <c r="G101" s="1" t="s">
        <v>183</v>
      </c>
      <c r="H101" s="1" t="s">
        <v>380</v>
      </c>
      <c r="J101" s="9">
        <f t="shared" si="4"/>
        <v>148.69999999999999</v>
      </c>
      <c r="K101" s="1">
        <v>1300</v>
      </c>
      <c r="L101" s="1" t="s">
        <v>10</v>
      </c>
      <c r="N101" s="1" t="s">
        <v>219</v>
      </c>
      <c r="P101" s="1" t="s">
        <v>234</v>
      </c>
      <c r="Q101" s="1" t="s">
        <v>42</v>
      </c>
      <c r="R101" s="1" t="s">
        <v>13</v>
      </c>
      <c r="S101" s="1">
        <f t="shared" si="3"/>
        <v>148.69999999999999</v>
      </c>
      <c r="T101" s="2">
        <v>46.7</v>
      </c>
    </row>
    <row r="102" spans="1:20" ht="15.75" customHeight="1" x14ac:dyDescent="0.2">
      <c r="A102" s="6">
        <v>102</v>
      </c>
      <c r="C102" s="1">
        <v>22</v>
      </c>
      <c r="D102" s="1">
        <v>2</v>
      </c>
      <c r="E102" s="1">
        <v>2</v>
      </c>
      <c r="F102" s="1" t="s">
        <v>65</v>
      </c>
      <c r="G102" s="1" t="s">
        <v>182</v>
      </c>
      <c r="H102" s="1" t="s">
        <v>66</v>
      </c>
      <c r="J102" s="9">
        <f t="shared" si="4"/>
        <v>116.8</v>
      </c>
      <c r="K102" s="1">
        <v>1300</v>
      </c>
      <c r="L102" s="1" t="s">
        <v>10</v>
      </c>
      <c r="N102" s="1" t="s">
        <v>213</v>
      </c>
      <c r="P102" s="1" t="s">
        <v>234</v>
      </c>
      <c r="S102" s="1">
        <f t="shared" si="3"/>
        <v>116.8</v>
      </c>
      <c r="T102" s="2">
        <v>36.700000000000003</v>
      </c>
    </row>
    <row r="103" spans="1:20" ht="15.75" customHeight="1" x14ac:dyDescent="0.2">
      <c r="A103" s="6">
        <v>103</v>
      </c>
      <c r="C103" s="1">
        <v>22</v>
      </c>
      <c r="D103" s="1">
        <v>8</v>
      </c>
      <c r="E103" s="1">
        <v>1</v>
      </c>
      <c r="F103" s="1" t="s">
        <v>48</v>
      </c>
      <c r="G103" s="1" t="s">
        <v>190</v>
      </c>
      <c r="H103" s="1" t="s">
        <v>249</v>
      </c>
      <c r="J103" s="9">
        <f t="shared" si="4"/>
        <v>343.8</v>
      </c>
      <c r="K103" s="1">
        <v>1300</v>
      </c>
      <c r="L103" s="1" t="s">
        <v>10</v>
      </c>
      <c r="N103" s="1" t="s">
        <v>212</v>
      </c>
      <c r="P103" s="1" t="s">
        <v>234</v>
      </c>
      <c r="S103" s="1">
        <f t="shared" si="3"/>
        <v>343.8</v>
      </c>
      <c r="T103" s="2">
        <v>108</v>
      </c>
    </row>
    <row r="104" spans="1:20" ht="15.75" customHeight="1" x14ac:dyDescent="0.2">
      <c r="A104" s="6">
        <v>104</v>
      </c>
      <c r="C104" s="1">
        <v>22</v>
      </c>
      <c r="D104" s="1">
        <v>8</v>
      </c>
      <c r="E104" s="1">
        <v>4</v>
      </c>
      <c r="F104" s="1" t="s">
        <v>83</v>
      </c>
      <c r="G104" s="1" t="s">
        <v>84</v>
      </c>
      <c r="H104" s="1" t="s">
        <v>247</v>
      </c>
      <c r="I104" s="1" t="s">
        <v>85</v>
      </c>
      <c r="J104" s="9">
        <f t="shared" si="4"/>
        <v>126.7</v>
      </c>
      <c r="K104" s="1">
        <v>1300</v>
      </c>
      <c r="L104" s="1" t="s">
        <v>10</v>
      </c>
      <c r="N104" s="1" t="s">
        <v>225</v>
      </c>
      <c r="P104" s="1" t="s">
        <v>234</v>
      </c>
      <c r="S104" s="1">
        <f t="shared" si="3"/>
        <v>126.7</v>
      </c>
      <c r="T104" s="2">
        <v>39.799999999999997</v>
      </c>
    </row>
    <row r="105" spans="1:20" ht="15.75" customHeight="1" x14ac:dyDescent="0.2">
      <c r="A105" s="6">
        <v>105</v>
      </c>
      <c r="C105" s="1">
        <v>22</v>
      </c>
      <c r="D105" s="1">
        <v>6</v>
      </c>
      <c r="E105" s="1">
        <v>4.5</v>
      </c>
      <c r="F105" s="1" t="s">
        <v>12</v>
      </c>
      <c r="G105" s="1" t="s">
        <v>183</v>
      </c>
      <c r="H105" s="1" t="s">
        <v>380</v>
      </c>
      <c r="J105" s="9">
        <f t="shared" si="4"/>
        <v>114.60000000000001</v>
      </c>
      <c r="K105" s="1">
        <v>1300</v>
      </c>
      <c r="L105" s="1" t="s">
        <v>10</v>
      </c>
      <c r="N105" s="1" t="s">
        <v>219</v>
      </c>
      <c r="P105" s="1" t="s">
        <v>234</v>
      </c>
      <c r="Q105" s="1" t="s">
        <v>42</v>
      </c>
      <c r="R105" s="1" t="s">
        <v>13</v>
      </c>
      <c r="S105" s="1">
        <f t="shared" si="3"/>
        <v>114.60000000000001</v>
      </c>
      <c r="T105" s="2">
        <v>36</v>
      </c>
    </row>
    <row r="106" spans="1:20" ht="15.75" customHeight="1" x14ac:dyDescent="0.2">
      <c r="A106" s="6">
        <v>106</v>
      </c>
      <c r="C106" s="1">
        <v>22</v>
      </c>
      <c r="D106" s="1">
        <v>9</v>
      </c>
      <c r="E106" s="1">
        <v>8</v>
      </c>
      <c r="F106" s="1" t="s">
        <v>12</v>
      </c>
      <c r="G106" s="1" t="s">
        <v>183</v>
      </c>
      <c r="H106" s="1" t="s">
        <v>380</v>
      </c>
      <c r="J106" s="9">
        <f t="shared" si="4"/>
        <v>116.19999999999999</v>
      </c>
      <c r="K106" s="1">
        <v>1300</v>
      </c>
      <c r="L106" s="1" t="s">
        <v>10</v>
      </c>
      <c r="N106" s="1" t="s">
        <v>219</v>
      </c>
      <c r="P106" s="1" t="s">
        <v>234</v>
      </c>
      <c r="Q106" s="1" t="s">
        <v>42</v>
      </c>
      <c r="R106" s="1" t="s">
        <v>13</v>
      </c>
      <c r="S106" s="1">
        <f t="shared" si="3"/>
        <v>116.19999999999999</v>
      </c>
      <c r="T106" s="2">
        <v>36.5</v>
      </c>
    </row>
    <row r="107" spans="1:20" ht="15.75" customHeight="1" x14ac:dyDescent="0.2">
      <c r="A107" s="6">
        <v>107</v>
      </c>
      <c r="C107" s="1">
        <v>22</v>
      </c>
      <c r="D107" s="1">
        <v>1</v>
      </c>
      <c r="E107" s="1">
        <v>9.5</v>
      </c>
      <c r="F107" s="1" t="s">
        <v>83</v>
      </c>
      <c r="G107" s="1" t="s">
        <v>84</v>
      </c>
      <c r="H107" s="1" t="s">
        <v>247</v>
      </c>
      <c r="I107" s="1" t="s">
        <v>85</v>
      </c>
      <c r="J107" s="9">
        <f t="shared" si="4"/>
        <v>196.4</v>
      </c>
      <c r="K107" s="1">
        <v>1300</v>
      </c>
      <c r="L107" s="1" t="s">
        <v>10</v>
      </c>
      <c r="N107" s="1" t="s">
        <v>225</v>
      </c>
      <c r="P107" s="1" t="s">
        <v>234</v>
      </c>
      <c r="S107" s="1">
        <f t="shared" si="3"/>
        <v>196.4</v>
      </c>
      <c r="T107" s="2">
        <v>61.7</v>
      </c>
    </row>
    <row r="108" spans="1:20" ht="15.75" customHeight="1" x14ac:dyDescent="0.2">
      <c r="A108" s="6">
        <v>108</v>
      </c>
      <c r="C108" s="1">
        <v>23</v>
      </c>
      <c r="D108" s="1">
        <v>7</v>
      </c>
      <c r="E108" s="1">
        <v>4</v>
      </c>
      <c r="F108" s="1" t="s">
        <v>86</v>
      </c>
      <c r="G108" s="1" t="s">
        <v>197</v>
      </c>
      <c r="H108" s="1" t="s">
        <v>250</v>
      </c>
      <c r="J108" s="9">
        <f t="shared" si="4"/>
        <v>566.59999999999991</v>
      </c>
      <c r="K108" s="1">
        <v>1300</v>
      </c>
      <c r="L108" s="1" t="s">
        <v>10</v>
      </c>
      <c r="N108" s="1" t="s">
        <v>297</v>
      </c>
      <c r="P108" s="1" t="s">
        <v>234</v>
      </c>
      <c r="Q108" s="1" t="s">
        <v>402</v>
      </c>
      <c r="S108" s="1">
        <f t="shared" si="3"/>
        <v>566.59999999999991</v>
      </c>
      <c r="T108" s="2">
        <v>178</v>
      </c>
    </row>
    <row r="109" spans="1:20" ht="15.75" customHeight="1" x14ac:dyDescent="0.2">
      <c r="A109" s="6">
        <v>109</v>
      </c>
      <c r="C109" s="1">
        <v>23</v>
      </c>
      <c r="D109" s="1">
        <v>2</v>
      </c>
      <c r="E109" s="1">
        <v>5</v>
      </c>
      <c r="F109" s="1" t="s">
        <v>12</v>
      </c>
      <c r="G109" s="1" t="s">
        <v>183</v>
      </c>
      <c r="H109" s="1" t="s">
        <v>380</v>
      </c>
      <c r="J109" s="9">
        <f t="shared" si="4"/>
        <v>118.10000000000001</v>
      </c>
      <c r="K109" s="1">
        <v>1300</v>
      </c>
      <c r="L109" s="1" t="s">
        <v>10</v>
      </c>
      <c r="N109" s="1" t="s">
        <v>219</v>
      </c>
      <c r="P109" s="1" t="s">
        <v>234</v>
      </c>
      <c r="Q109" s="1" t="s">
        <v>42</v>
      </c>
      <c r="R109" s="1" t="s">
        <v>13</v>
      </c>
      <c r="S109" s="1">
        <f t="shared" si="3"/>
        <v>118.10000000000001</v>
      </c>
      <c r="T109" s="2">
        <v>37.1</v>
      </c>
    </row>
    <row r="110" spans="1:20" ht="15.75" customHeight="1" x14ac:dyDescent="0.2">
      <c r="A110" s="6">
        <v>110</v>
      </c>
      <c r="C110" s="1">
        <v>23</v>
      </c>
      <c r="D110" s="1">
        <v>7</v>
      </c>
      <c r="E110" s="1">
        <v>7.5</v>
      </c>
      <c r="F110" s="1" t="s">
        <v>86</v>
      </c>
      <c r="G110" s="1" t="s">
        <v>87</v>
      </c>
      <c r="H110" s="1" t="s">
        <v>382</v>
      </c>
      <c r="J110" s="9">
        <f t="shared" si="4"/>
        <v>230.5</v>
      </c>
      <c r="K110" s="1">
        <v>1300</v>
      </c>
      <c r="L110" s="1" t="s">
        <v>10</v>
      </c>
      <c r="N110" s="1" t="s">
        <v>241</v>
      </c>
      <c r="P110" s="1" t="s">
        <v>32</v>
      </c>
      <c r="Q110" s="1" t="s">
        <v>88</v>
      </c>
      <c r="S110" s="1">
        <f t="shared" si="3"/>
        <v>230.5</v>
      </c>
      <c r="T110" s="2">
        <v>72.400000000000006</v>
      </c>
    </row>
    <row r="111" spans="1:20" ht="15.75" customHeight="1" x14ac:dyDescent="0.2">
      <c r="A111" s="6">
        <v>111</v>
      </c>
      <c r="C111" s="1">
        <v>24</v>
      </c>
      <c r="D111" s="1">
        <v>3.5</v>
      </c>
      <c r="E111" s="1">
        <v>1.5</v>
      </c>
      <c r="F111" s="1" t="s">
        <v>22</v>
      </c>
      <c r="G111" s="1" t="s">
        <v>195</v>
      </c>
      <c r="H111" s="1" t="s">
        <v>30</v>
      </c>
      <c r="J111" s="9">
        <f t="shared" si="4"/>
        <v>276</v>
      </c>
      <c r="K111" s="1">
        <v>1300</v>
      </c>
      <c r="L111" s="1" t="s">
        <v>10</v>
      </c>
      <c r="N111" s="1" t="s">
        <v>202</v>
      </c>
      <c r="P111" s="1" t="s">
        <v>234</v>
      </c>
      <c r="Q111" s="1" t="s">
        <v>26</v>
      </c>
      <c r="S111" s="1">
        <f t="shared" si="3"/>
        <v>276</v>
      </c>
      <c r="T111" s="2">
        <v>86.7</v>
      </c>
    </row>
    <row r="112" spans="1:20" ht="15.75" customHeight="1" x14ac:dyDescent="0.2">
      <c r="A112" s="6">
        <v>112</v>
      </c>
      <c r="C112" s="1">
        <v>24</v>
      </c>
      <c r="D112" s="1">
        <v>3</v>
      </c>
      <c r="E112" s="1">
        <v>2.5</v>
      </c>
      <c r="F112" s="1" t="s">
        <v>48</v>
      </c>
      <c r="G112" s="1" t="s">
        <v>190</v>
      </c>
      <c r="H112" s="1" t="s">
        <v>249</v>
      </c>
      <c r="J112" s="9">
        <f t="shared" si="4"/>
        <v>147.4</v>
      </c>
      <c r="K112" s="1">
        <v>1300</v>
      </c>
      <c r="L112" s="1" t="s">
        <v>10</v>
      </c>
      <c r="N112" s="1" t="s">
        <v>212</v>
      </c>
      <c r="P112" s="1" t="s">
        <v>234</v>
      </c>
      <c r="S112" s="1">
        <f t="shared" si="3"/>
        <v>147.4</v>
      </c>
      <c r="T112" s="2">
        <v>46.3</v>
      </c>
    </row>
    <row r="113" spans="1:20" ht="15.75" customHeight="1" x14ac:dyDescent="0.2">
      <c r="A113" s="6">
        <v>113</v>
      </c>
      <c r="C113" s="1">
        <v>24</v>
      </c>
      <c r="D113" s="1">
        <v>1.5</v>
      </c>
      <c r="E113" s="1">
        <v>4</v>
      </c>
      <c r="F113" s="1" t="s">
        <v>15</v>
      </c>
      <c r="G113" s="1" t="s">
        <v>16</v>
      </c>
      <c r="H113" s="1" t="s">
        <v>89</v>
      </c>
      <c r="J113" s="9">
        <f t="shared" si="4"/>
        <v>434.20000000000005</v>
      </c>
      <c r="K113" s="1">
        <v>1300</v>
      </c>
      <c r="L113" s="1" t="s">
        <v>10</v>
      </c>
      <c r="N113" s="1" t="s">
        <v>242</v>
      </c>
      <c r="P113" s="1" t="s">
        <v>32</v>
      </c>
      <c r="S113" s="1">
        <f t="shared" si="3"/>
        <v>434.20000000000005</v>
      </c>
      <c r="T113" s="2">
        <v>136.4</v>
      </c>
    </row>
    <row r="114" spans="1:20" ht="15.75" customHeight="1" x14ac:dyDescent="0.2">
      <c r="A114" s="6">
        <v>114</v>
      </c>
      <c r="C114" s="1">
        <v>24</v>
      </c>
      <c r="D114" s="1">
        <v>2.5</v>
      </c>
      <c r="E114" s="1">
        <v>5.5</v>
      </c>
      <c r="F114" s="1" t="s">
        <v>12</v>
      </c>
      <c r="G114" s="1" t="s">
        <v>183</v>
      </c>
      <c r="H114" s="1" t="s">
        <v>380</v>
      </c>
      <c r="J114" s="9">
        <f t="shared" si="4"/>
        <v>205.3</v>
      </c>
      <c r="K114" s="1">
        <v>1300</v>
      </c>
      <c r="L114" s="1" t="s">
        <v>10</v>
      </c>
      <c r="N114" s="1" t="s">
        <v>219</v>
      </c>
      <c r="P114" s="1" t="s">
        <v>234</v>
      </c>
      <c r="Q114" s="1" t="s">
        <v>42</v>
      </c>
      <c r="R114" s="1" t="s">
        <v>13</v>
      </c>
      <c r="S114" s="1">
        <f t="shared" si="3"/>
        <v>205.3</v>
      </c>
      <c r="T114" s="2">
        <v>64.5</v>
      </c>
    </row>
    <row r="115" spans="1:20" ht="15.75" customHeight="1" x14ac:dyDescent="0.2">
      <c r="A115" s="6">
        <v>115</v>
      </c>
      <c r="C115" s="1">
        <v>24</v>
      </c>
      <c r="D115" s="1">
        <v>0.5</v>
      </c>
      <c r="E115" s="1">
        <v>7</v>
      </c>
      <c r="F115" s="1" t="s">
        <v>12</v>
      </c>
      <c r="G115" s="1" t="s">
        <v>183</v>
      </c>
      <c r="H115" s="1" t="s">
        <v>380</v>
      </c>
      <c r="J115" s="9">
        <f t="shared" si="4"/>
        <v>168.70000000000002</v>
      </c>
      <c r="K115" s="1">
        <v>1300</v>
      </c>
      <c r="L115" s="1" t="s">
        <v>19</v>
      </c>
      <c r="N115" s="1" t="s">
        <v>219</v>
      </c>
      <c r="P115" s="1" t="s">
        <v>234</v>
      </c>
      <c r="Q115" s="1" t="s">
        <v>90</v>
      </c>
      <c r="R115" s="1" t="s">
        <v>13</v>
      </c>
      <c r="S115" s="1">
        <f t="shared" si="3"/>
        <v>168.70000000000002</v>
      </c>
      <c r="T115" s="2">
        <v>53</v>
      </c>
    </row>
    <row r="116" spans="1:20" ht="15.75" customHeight="1" x14ac:dyDescent="0.2">
      <c r="A116" s="6">
        <v>116</v>
      </c>
      <c r="C116" s="1">
        <v>24</v>
      </c>
      <c r="D116" s="1">
        <v>2</v>
      </c>
      <c r="E116" s="1">
        <v>9.8000000000000007</v>
      </c>
      <c r="F116" s="1" t="s">
        <v>22</v>
      </c>
      <c r="G116" s="1" t="s">
        <v>91</v>
      </c>
      <c r="H116" s="1" t="s">
        <v>92</v>
      </c>
      <c r="J116" s="9">
        <f t="shared" si="4"/>
        <v>112</v>
      </c>
      <c r="K116" s="1">
        <v>1300</v>
      </c>
      <c r="L116" s="1" t="s">
        <v>10</v>
      </c>
      <c r="N116" s="14" t="s">
        <v>294</v>
      </c>
      <c r="P116" s="1" t="s">
        <v>32</v>
      </c>
      <c r="S116" s="1">
        <f t="shared" si="3"/>
        <v>112</v>
      </c>
      <c r="T116" s="2">
        <v>35.200000000000003</v>
      </c>
    </row>
    <row r="117" spans="1:20" ht="15.75" customHeight="1" x14ac:dyDescent="0.2">
      <c r="A117" s="6">
        <v>117</v>
      </c>
      <c r="C117" s="1">
        <v>25</v>
      </c>
      <c r="D117" s="1">
        <v>5</v>
      </c>
      <c r="E117" s="1">
        <v>1</v>
      </c>
      <c r="F117" s="1" t="s">
        <v>86</v>
      </c>
      <c r="G117" s="1" t="s">
        <v>197</v>
      </c>
      <c r="H117" s="1" t="s">
        <v>250</v>
      </c>
      <c r="J117" s="9">
        <f t="shared" si="4"/>
        <v>380.4</v>
      </c>
      <c r="K117" s="1">
        <v>1300</v>
      </c>
      <c r="L117" s="1" t="s">
        <v>10</v>
      </c>
      <c r="N117" s="14" t="s">
        <v>297</v>
      </c>
      <c r="P117" s="1" t="s">
        <v>234</v>
      </c>
      <c r="S117" s="1">
        <f t="shared" si="3"/>
        <v>380.4</v>
      </c>
      <c r="T117" s="2">
        <v>119.5</v>
      </c>
    </row>
    <row r="118" spans="1:20" ht="15.75" customHeight="1" x14ac:dyDescent="0.2">
      <c r="A118" s="6">
        <v>118</v>
      </c>
      <c r="C118" s="1">
        <v>25</v>
      </c>
      <c r="D118" s="1">
        <v>3</v>
      </c>
      <c r="E118" s="1">
        <v>2</v>
      </c>
      <c r="F118" s="1" t="s">
        <v>22</v>
      </c>
      <c r="G118" s="1" t="s">
        <v>324</v>
      </c>
      <c r="H118" s="1" t="s">
        <v>23</v>
      </c>
      <c r="J118" s="9">
        <f t="shared" si="4"/>
        <v>98.699999999999989</v>
      </c>
      <c r="K118" s="1">
        <v>1300</v>
      </c>
      <c r="L118" s="1" t="s">
        <v>10</v>
      </c>
      <c r="N118" s="14" t="s">
        <v>327</v>
      </c>
      <c r="P118" s="1" t="s">
        <v>234</v>
      </c>
      <c r="S118" s="1">
        <f t="shared" si="3"/>
        <v>98.699999999999989</v>
      </c>
      <c r="T118" s="2">
        <v>31</v>
      </c>
    </row>
    <row r="119" spans="1:20" ht="15.75" customHeight="1" x14ac:dyDescent="0.2">
      <c r="A119" s="6">
        <v>119</v>
      </c>
      <c r="C119" s="1">
        <v>25</v>
      </c>
      <c r="D119" s="1">
        <v>6</v>
      </c>
      <c r="E119" s="1">
        <v>4</v>
      </c>
      <c r="F119" s="1" t="s">
        <v>93</v>
      </c>
      <c r="G119" s="1" t="s">
        <v>94</v>
      </c>
      <c r="H119" s="1" t="s">
        <v>235</v>
      </c>
      <c r="J119" s="9">
        <f t="shared" si="4"/>
        <v>115.5</v>
      </c>
      <c r="K119" s="1">
        <v>1300</v>
      </c>
      <c r="L119" s="1" t="s">
        <v>10</v>
      </c>
      <c r="N119" s="14" t="s">
        <v>299</v>
      </c>
      <c r="P119" s="1" t="s">
        <v>32</v>
      </c>
      <c r="Q119" s="1" t="s">
        <v>26</v>
      </c>
      <c r="S119" s="1">
        <f t="shared" si="3"/>
        <v>115.5</v>
      </c>
      <c r="T119" s="2">
        <v>36.299999999999997</v>
      </c>
    </row>
    <row r="120" spans="1:20" ht="15.75" customHeight="1" x14ac:dyDescent="0.2">
      <c r="A120" s="6">
        <v>120</v>
      </c>
      <c r="C120" s="1">
        <v>25</v>
      </c>
      <c r="D120" s="1">
        <v>2</v>
      </c>
      <c r="E120" s="1">
        <v>7.5</v>
      </c>
      <c r="F120" s="1" t="s">
        <v>48</v>
      </c>
      <c r="G120" s="1" t="s">
        <v>190</v>
      </c>
      <c r="H120" s="1" t="s">
        <v>249</v>
      </c>
      <c r="J120" s="9">
        <f t="shared" si="4"/>
        <v>296</v>
      </c>
      <c r="K120" s="1">
        <v>1300</v>
      </c>
      <c r="L120" s="1" t="s">
        <v>10</v>
      </c>
      <c r="N120" s="1" t="s">
        <v>212</v>
      </c>
      <c r="P120" s="1" t="s">
        <v>234</v>
      </c>
      <c r="S120" s="1">
        <f t="shared" si="3"/>
        <v>296</v>
      </c>
      <c r="T120" s="2">
        <v>93</v>
      </c>
    </row>
    <row r="121" spans="1:20" ht="15.75" customHeight="1" x14ac:dyDescent="0.2">
      <c r="A121" s="6">
        <v>121</v>
      </c>
      <c r="C121" s="1">
        <v>25</v>
      </c>
      <c r="D121" s="1">
        <v>5</v>
      </c>
      <c r="E121" s="1">
        <v>6</v>
      </c>
      <c r="F121" s="1" t="s">
        <v>12</v>
      </c>
      <c r="G121" s="1" t="s">
        <v>183</v>
      </c>
      <c r="H121" s="1" t="s">
        <v>380</v>
      </c>
      <c r="J121" s="9">
        <f t="shared" si="4"/>
        <v>105.39999999999999</v>
      </c>
      <c r="K121" s="1">
        <v>1300</v>
      </c>
      <c r="L121" s="1" t="s">
        <v>71</v>
      </c>
      <c r="N121" s="1" t="s">
        <v>219</v>
      </c>
      <c r="P121" s="1" t="s">
        <v>234</v>
      </c>
      <c r="Q121" s="1" t="s">
        <v>42</v>
      </c>
      <c r="R121" s="1" t="s">
        <v>13</v>
      </c>
      <c r="S121" s="1">
        <f t="shared" si="3"/>
        <v>105.39999999999999</v>
      </c>
      <c r="T121" s="2">
        <v>33.1</v>
      </c>
    </row>
    <row r="122" spans="1:20" ht="15.75" customHeight="1" x14ac:dyDescent="0.2">
      <c r="A122" s="6">
        <v>122</v>
      </c>
      <c r="C122" s="1">
        <v>25</v>
      </c>
      <c r="D122" s="1">
        <v>2</v>
      </c>
      <c r="E122" s="1">
        <v>7.5</v>
      </c>
      <c r="F122" s="1" t="s">
        <v>83</v>
      </c>
      <c r="G122" s="1" t="s">
        <v>84</v>
      </c>
      <c r="H122" s="1" t="s">
        <v>247</v>
      </c>
      <c r="I122" s="1" t="s">
        <v>85</v>
      </c>
      <c r="J122" s="9">
        <f t="shared" si="4"/>
        <v>98.699999999999989</v>
      </c>
      <c r="K122" s="1">
        <v>1300</v>
      </c>
      <c r="L122" s="1" t="s">
        <v>10</v>
      </c>
      <c r="N122" s="1" t="s">
        <v>225</v>
      </c>
      <c r="P122" s="1" t="s">
        <v>234</v>
      </c>
      <c r="S122" s="1">
        <f t="shared" si="3"/>
        <v>98.699999999999989</v>
      </c>
      <c r="T122" s="2">
        <v>31</v>
      </c>
    </row>
    <row r="123" spans="1:20" ht="15.75" customHeight="1" x14ac:dyDescent="0.2">
      <c r="A123" s="6">
        <v>123</v>
      </c>
      <c r="C123" s="1">
        <v>25</v>
      </c>
      <c r="D123" s="1">
        <v>6</v>
      </c>
      <c r="E123" s="1">
        <v>7</v>
      </c>
      <c r="F123" s="1" t="s">
        <v>15</v>
      </c>
      <c r="G123" s="1" t="s">
        <v>16</v>
      </c>
      <c r="H123" s="1" t="s">
        <v>251</v>
      </c>
      <c r="J123" s="9">
        <f t="shared" si="4"/>
        <v>359.7</v>
      </c>
      <c r="K123" s="1">
        <v>1300</v>
      </c>
      <c r="L123" s="1" t="s">
        <v>55</v>
      </c>
      <c r="N123" s="14" t="s">
        <v>296</v>
      </c>
      <c r="P123" s="1" t="s">
        <v>32</v>
      </c>
      <c r="S123" s="1">
        <f t="shared" si="3"/>
        <v>359.7</v>
      </c>
      <c r="T123" s="2">
        <v>113</v>
      </c>
    </row>
    <row r="124" spans="1:20" ht="15.75" customHeight="1" x14ac:dyDescent="0.2">
      <c r="A124" s="6">
        <v>124</v>
      </c>
      <c r="C124" s="1">
        <v>25</v>
      </c>
      <c r="D124" s="1">
        <v>9</v>
      </c>
      <c r="E124" s="1">
        <v>8</v>
      </c>
      <c r="F124" s="1" t="s">
        <v>22</v>
      </c>
      <c r="G124" s="1" t="s">
        <v>324</v>
      </c>
      <c r="H124" s="1" t="s">
        <v>23</v>
      </c>
      <c r="J124" s="9">
        <f t="shared" si="4"/>
        <v>103.5</v>
      </c>
      <c r="K124" s="1">
        <v>1300</v>
      </c>
      <c r="L124" s="1" t="s">
        <v>10</v>
      </c>
      <c r="N124" s="14" t="s">
        <v>327</v>
      </c>
      <c r="P124" s="1" t="s">
        <v>234</v>
      </c>
      <c r="S124" s="1">
        <f t="shared" si="3"/>
        <v>103.5</v>
      </c>
      <c r="T124" s="2">
        <v>32.5</v>
      </c>
    </row>
    <row r="125" spans="1:20" ht="15.75" customHeight="1" x14ac:dyDescent="0.2">
      <c r="A125" s="6">
        <v>125</v>
      </c>
      <c r="C125" s="1">
        <v>26</v>
      </c>
      <c r="D125" s="1">
        <v>6</v>
      </c>
      <c r="E125" s="1">
        <v>1</v>
      </c>
      <c r="F125" s="1" t="s">
        <v>12</v>
      </c>
      <c r="G125" s="1" t="s">
        <v>183</v>
      </c>
      <c r="H125" s="1" t="s">
        <v>380</v>
      </c>
      <c r="J125" s="9">
        <f t="shared" si="4"/>
        <v>108.2</v>
      </c>
      <c r="K125" s="1">
        <v>1300</v>
      </c>
      <c r="L125" s="1" t="s">
        <v>10</v>
      </c>
      <c r="N125" s="1" t="s">
        <v>219</v>
      </c>
      <c r="P125" s="1" t="s">
        <v>234</v>
      </c>
      <c r="Q125" s="1" t="s">
        <v>42</v>
      </c>
      <c r="R125" s="1" t="s">
        <v>13</v>
      </c>
      <c r="S125" s="1">
        <f t="shared" si="3"/>
        <v>108.2</v>
      </c>
      <c r="T125" s="2">
        <v>34</v>
      </c>
    </row>
    <row r="126" spans="1:20" ht="15.75" customHeight="1" x14ac:dyDescent="0.2">
      <c r="A126" s="6">
        <v>126</v>
      </c>
      <c r="C126" s="1">
        <v>26</v>
      </c>
      <c r="D126" s="1">
        <v>7</v>
      </c>
      <c r="E126" s="1">
        <v>1.5</v>
      </c>
      <c r="F126" s="1" t="s">
        <v>78</v>
      </c>
      <c r="G126" s="1" t="s">
        <v>192</v>
      </c>
      <c r="H126" s="1" t="s">
        <v>95</v>
      </c>
      <c r="J126" s="9">
        <f t="shared" si="4"/>
        <v>253.1</v>
      </c>
      <c r="K126" s="1">
        <v>1300</v>
      </c>
      <c r="L126" s="1" t="s">
        <v>10</v>
      </c>
      <c r="N126" s="14" t="s">
        <v>295</v>
      </c>
      <c r="P126" s="1" t="s">
        <v>32</v>
      </c>
      <c r="Q126" s="1" t="s">
        <v>82</v>
      </c>
      <c r="S126" s="1">
        <f t="shared" si="3"/>
        <v>253.1</v>
      </c>
      <c r="T126" s="2">
        <v>79.5</v>
      </c>
    </row>
    <row r="127" spans="1:20" ht="15.75" customHeight="1" x14ac:dyDescent="0.2">
      <c r="A127" s="6">
        <v>127</v>
      </c>
      <c r="C127" s="1">
        <v>26</v>
      </c>
      <c r="D127" s="1">
        <v>4.5</v>
      </c>
      <c r="E127" s="1">
        <v>5</v>
      </c>
      <c r="F127" s="1" t="s">
        <v>12</v>
      </c>
      <c r="G127" s="1" t="s">
        <v>183</v>
      </c>
      <c r="H127" s="1" t="s">
        <v>380</v>
      </c>
      <c r="J127" s="9">
        <f t="shared" si="4"/>
        <v>149.9</v>
      </c>
      <c r="K127" s="1">
        <v>1300</v>
      </c>
      <c r="L127" s="1" t="s">
        <v>10</v>
      </c>
      <c r="N127" s="1" t="s">
        <v>219</v>
      </c>
      <c r="P127" s="1" t="s">
        <v>234</v>
      </c>
      <c r="Q127" s="1" t="s">
        <v>42</v>
      </c>
      <c r="R127" s="1" t="s">
        <v>13</v>
      </c>
      <c r="S127" s="1">
        <f t="shared" si="3"/>
        <v>149.9</v>
      </c>
      <c r="T127" s="2">
        <v>47.1</v>
      </c>
    </row>
    <row r="128" spans="1:20" ht="15.75" customHeight="1" x14ac:dyDescent="0.2">
      <c r="A128" s="6">
        <v>128</v>
      </c>
      <c r="C128" s="1">
        <v>26</v>
      </c>
      <c r="D128" s="1">
        <v>0.1</v>
      </c>
      <c r="E128" s="1">
        <v>1</v>
      </c>
      <c r="F128" s="1" t="s">
        <v>78</v>
      </c>
      <c r="G128" s="1" t="s">
        <v>192</v>
      </c>
      <c r="H128" s="1" t="s">
        <v>95</v>
      </c>
      <c r="J128" s="9">
        <f t="shared" si="4"/>
        <v>140.39999999999998</v>
      </c>
      <c r="K128" s="1">
        <v>1300</v>
      </c>
      <c r="L128" s="1" t="s">
        <v>10</v>
      </c>
      <c r="N128" s="14" t="s">
        <v>295</v>
      </c>
      <c r="P128" s="1" t="s">
        <v>234</v>
      </c>
      <c r="S128" s="1">
        <f t="shared" si="3"/>
        <v>140.39999999999998</v>
      </c>
      <c r="T128" s="2">
        <v>44.1</v>
      </c>
    </row>
    <row r="129" spans="1:20" ht="15.75" customHeight="1" x14ac:dyDescent="0.2">
      <c r="A129" s="6">
        <v>129</v>
      </c>
      <c r="C129" s="1">
        <v>26</v>
      </c>
      <c r="D129" s="1">
        <v>0.1</v>
      </c>
      <c r="E129" s="1">
        <v>5.5</v>
      </c>
      <c r="F129" s="1" t="s">
        <v>22</v>
      </c>
      <c r="G129" s="1" t="s">
        <v>191</v>
      </c>
      <c r="H129" s="1" t="s">
        <v>245</v>
      </c>
      <c r="J129" s="9">
        <f t="shared" si="4"/>
        <v>124.1</v>
      </c>
      <c r="K129" s="1">
        <v>1300</v>
      </c>
      <c r="L129" s="1" t="s">
        <v>10</v>
      </c>
      <c r="N129" s="1" t="s">
        <v>214</v>
      </c>
      <c r="P129" s="1" t="s">
        <v>32</v>
      </c>
      <c r="S129" s="1">
        <f t="shared" si="3"/>
        <v>124.1</v>
      </c>
      <c r="T129" s="2">
        <v>39</v>
      </c>
    </row>
    <row r="130" spans="1:20" ht="15.75" customHeight="1" x14ac:dyDescent="0.2">
      <c r="A130" s="6">
        <v>130</v>
      </c>
      <c r="C130" s="1">
        <v>26</v>
      </c>
      <c r="D130" s="1">
        <v>1</v>
      </c>
      <c r="E130" s="1">
        <v>6</v>
      </c>
      <c r="F130" s="1" t="s">
        <v>39</v>
      </c>
      <c r="G130" s="1" t="s">
        <v>277</v>
      </c>
      <c r="H130" s="1" t="s">
        <v>236</v>
      </c>
      <c r="J130" s="9">
        <f t="shared" si="4"/>
        <v>334.5</v>
      </c>
      <c r="K130" s="1">
        <v>1300</v>
      </c>
      <c r="L130" s="1" t="s">
        <v>10</v>
      </c>
      <c r="N130" s="14" t="s">
        <v>298</v>
      </c>
      <c r="P130" s="1" t="s">
        <v>32</v>
      </c>
      <c r="S130" s="1">
        <f t="shared" si="3"/>
        <v>334.5</v>
      </c>
      <c r="T130" s="2">
        <v>105.1</v>
      </c>
    </row>
    <row r="131" spans="1:20" ht="15.75" customHeight="1" x14ac:dyDescent="0.2">
      <c r="A131" s="6">
        <v>131</v>
      </c>
      <c r="C131" s="1">
        <v>26</v>
      </c>
      <c r="D131" s="1">
        <v>1</v>
      </c>
      <c r="E131" s="1">
        <v>8</v>
      </c>
      <c r="F131" s="1" t="s">
        <v>68</v>
      </c>
      <c r="G131" s="1" t="s">
        <v>399</v>
      </c>
      <c r="H131" s="1" t="s">
        <v>135</v>
      </c>
      <c r="J131" s="9">
        <f t="shared" si="4"/>
        <v>132.10000000000002</v>
      </c>
      <c r="K131" s="1">
        <v>1300</v>
      </c>
      <c r="L131" s="1" t="s">
        <v>96</v>
      </c>
      <c r="N131" s="1" t="s">
        <v>215</v>
      </c>
      <c r="P131" s="1" t="s">
        <v>32</v>
      </c>
      <c r="S131" s="1">
        <f t="shared" si="3"/>
        <v>132.10000000000002</v>
      </c>
      <c r="T131" s="2">
        <v>41.5</v>
      </c>
    </row>
    <row r="132" spans="1:20" ht="15.75" customHeight="1" x14ac:dyDescent="0.2">
      <c r="A132" s="6">
        <v>132</v>
      </c>
      <c r="C132" s="1">
        <v>26</v>
      </c>
      <c r="D132" s="1">
        <v>2</v>
      </c>
      <c r="E132" s="1">
        <v>8</v>
      </c>
      <c r="F132" s="1" t="s">
        <v>22</v>
      </c>
      <c r="G132" s="1" t="s">
        <v>195</v>
      </c>
      <c r="H132" s="1" t="s">
        <v>30</v>
      </c>
      <c r="J132" s="9">
        <f t="shared" si="4"/>
        <v>105</v>
      </c>
      <c r="K132" s="1">
        <v>1300</v>
      </c>
      <c r="L132" s="1" t="s">
        <v>10</v>
      </c>
      <c r="N132" s="1" t="s">
        <v>202</v>
      </c>
      <c r="P132" s="1" t="s">
        <v>234</v>
      </c>
      <c r="S132" s="1">
        <f t="shared" si="3"/>
        <v>105</v>
      </c>
      <c r="T132" s="2">
        <v>33</v>
      </c>
    </row>
    <row r="133" spans="1:20" ht="15.75" customHeight="1" x14ac:dyDescent="0.2">
      <c r="A133" s="6">
        <v>133</v>
      </c>
      <c r="C133" s="1">
        <v>26</v>
      </c>
      <c r="D133" s="1">
        <v>8.5</v>
      </c>
      <c r="E133" s="1">
        <v>9.5</v>
      </c>
      <c r="F133" s="1" t="s">
        <v>12</v>
      </c>
      <c r="G133" s="1" t="s">
        <v>183</v>
      </c>
      <c r="H133" s="1" t="s">
        <v>380</v>
      </c>
      <c r="J133" s="9">
        <f t="shared" si="4"/>
        <v>117.8</v>
      </c>
      <c r="K133" s="1">
        <v>1300</v>
      </c>
      <c r="L133" s="1" t="s">
        <v>10</v>
      </c>
      <c r="N133" s="1" t="s">
        <v>219</v>
      </c>
      <c r="P133" s="1" t="s">
        <v>234</v>
      </c>
      <c r="Q133" s="1" t="s">
        <v>42</v>
      </c>
      <c r="R133" s="1" t="s">
        <v>13</v>
      </c>
      <c r="S133" s="1">
        <f t="shared" si="3"/>
        <v>117.8</v>
      </c>
      <c r="T133" s="2">
        <v>37</v>
      </c>
    </row>
    <row r="134" spans="1:20" ht="15.75" customHeight="1" x14ac:dyDescent="0.2">
      <c r="A134" s="6">
        <v>134</v>
      </c>
      <c r="C134" s="1">
        <v>27</v>
      </c>
      <c r="D134" s="1">
        <v>10</v>
      </c>
      <c r="E134" s="1">
        <v>0.5</v>
      </c>
      <c r="F134" s="1" t="s">
        <v>48</v>
      </c>
      <c r="G134" s="1" t="s">
        <v>190</v>
      </c>
      <c r="H134" s="1" t="s">
        <v>249</v>
      </c>
      <c r="J134" s="9">
        <f t="shared" si="4"/>
        <v>118.10000000000001</v>
      </c>
      <c r="K134" s="1">
        <v>1300</v>
      </c>
      <c r="L134" s="1" t="s">
        <v>10</v>
      </c>
      <c r="N134" s="1" t="s">
        <v>212</v>
      </c>
      <c r="P134" s="1" t="s">
        <v>234</v>
      </c>
      <c r="S134" s="1">
        <f t="shared" si="3"/>
        <v>118.10000000000001</v>
      </c>
      <c r="T134" s="2">
        <v>37.1</v>
      </c>
    </row>
    <row r="135" spans="1:20" ht="15.75" customHeight="1" x14ac:dyDescent="0.2">
      <c r="A135" s="6">
        <v>135</v>
      </c>
      <c r="C135" s="1">
        <v>27</v>
      </c>
      <c r="D135" s="1">
        <v>4</v>
      </c>
      <c r="E135" s="1">
        <v>1.5</v>
      </c>
      <c r="F135" s="1" t="s">
        <v>20</v>
      </c>
      <c r="G135" s="1" t="s">
        <v>405</v>
      </c>
      <c r="H135" s="1" t="s">
        <v>47</v>
      </c>
      <c r="J135" s="9">
        <f t="shared" si="4"/>
        <v>221.20000000000002</v>
      </c>
      <c r="K135" s="1">
        <v>1300</v>
      </c>
      <c r="L135" s="1" t="s">
        <v>34</v>
      </c>
      <c r="S135" s="1">
        <f t="shared" ref="S135:S198" si="5">ROUND(T135/PI(), 2) * 10</f>
        <v>221.20000000000002</v>
      </c>
      <c r="T135" s="2">
        <v>69.5</v>
      </c>
    </row>
    <row r="136" spans="1:20" ht="15.75" customHeight="1" x14ac:dyDescent="0.2">
      <c r="A136" s="6">
        <v>136</v>
      </c>
      <c r="C136" s="1">
        <v>27</v>
      </c>
      <c r="D136" s="1">
        <v>3</v>
      </c>
      <c r="E136" s="1">
        <v>4</v>
      </c>
      <c r="F136" s="1" t="s">
        <v>39</v>
      </c>
      <c r="G136" s="1" t="s">
        <v>275</v>
      </c>
      <c r="H136" s="1" t="s">
        <v>276</v>
      </c>
      <c r="J136" s="9">
        <f t="shared" si="4"/>
        <v>315.10000000000002</v>
      </c>
      <c r="K136" s="1">
        <v>1300</v>
      </c>
      <c r="L136" s="1" t="s">
        <v>34</v>
      </c>
      <c r="N136" s="14" t="s">
        <v>311</v>
      </c>
      <c r="P136" s="1" t="s">
        <v>32</v>
      </c>
      <c r="S136" s="1">
        <f t="shared" si="5"/>
        <v>315.10000000000002</v>
      </c>
      <c r="T136" s="2">
        <v>99</v>
      </c>
    </row>
    <row r="137" spans="1:20" ht="15.75" customHeight="1" x14ac:dyDescent="0.2">
      <c r="A137" s="6">
        <v>137</v>
      </c>
      <c r="C137" s="1">
        <v>27</v>
      </c>
      <c r="D137" s="1">
        <v>1.5</v>
      </c>
      <c r="E137" s="1">
        <v>3</v>
      </c>
      <c r="F137" s="1" t="s">
        <v>114</v>
      </c>
      <c r="G137" s="1" t="s">
        <v>185</v>
      </c>
      <c r="H137" s="1" t="s">
        <v>36</v>
      </c>
      <c r="J137" s="9">
        <f t="shared" si="4"/>
        <v>811.7</v>
      </c>
      <c r="K137" s="1">
        <v>1300</v>
      </c>
      <c r="L137" s="1" t="s">
        <v>10</v>
      </c>
      <c r="N137" s="1" t="s">
        <v>216</v>
      </c>
      <c r="P137" s="1" t="s">
        <v>234</v>
      </c>
      <c r="S137" s="1">
        <f t="shared" si="5"/>
        <v>811.7</v>
      </c>
      <c r="T137" s="2">
        <v>255</v>
      </c>
    </row>
    <row r="138" spans="1:20" ht="15.75" customHeight="1" x14ac:dyDescent="0.2">
      <c r="A138" s="6">
        <v>138</v>
      </c>
      <c r="C138" s="1">
        <v>27</v>
      </c>
      <c r="D138" s="1">
        <v>9</v>
      </c>
      <c r="E138" s="1">
        <v>7</v>
      </c>
      <c r="F138" s="1" t="s">
        <v>186</v>
      </c>
      <c r="G138" s="1" t="s">
        <v>200</v>
      </c>
      <c r="H138" s="1" t="s">
        <v>255</v>
      </c>
      <c r="J138" s="9">
        <f t="shared" si="4"/>
        <v>187.5</v>
      </c>
      <c r="K138" s="1">
        <v>1300</v>
      </c>
      <c r="L138" s="1" t="s">
        <v>10</v>
      </c>
      <c r="N138" s="1" t="s">
        <v>228</v>
      </c>
      <c r="P138" s="1" t="s">
        <v>234</v>
      </c>
      <c r="S138" s="1">
        <f t="shared" si="5"/>
        <v>187.5</v>
      </c>
      <c r="T138" s="2">
        <v>58.9</v>
      </c>
    </row>
    <row r="139" spans="1:20" ht="15.75" customHeight="1" x14ac:dyDescent="0.2">
      <c r="A139" s="6">
        <v>139</v>
      </c>
      <c r="C139" s="1">
        <v>28</v>
      </c>
      <c r="D139" s="1">
        <v>9.5</v>
      </c>
      <c r="E139" s="1">
        <v>0.5</v>
      </c>
      <c r="F139" s="1" t="s">
        <v>86</v>
      </c>
      <c r="G139" s="1" t="s">
        <v>16</v>
      </c>
      <c r="H139" s="1" t="s">
        <v>17</v>
      </c>
      <c r="J139" s="9">
        <f t="shared" si="4"/>
        <v>169.7</v>
      </c>
      <c r="K139" s="1">
        <v>1300</v>
      </c>
      <c r="L139" s="1" t="s">
        <v>10</v>
      </c>
      <c r="N139" s="14" t="s">
        <v>325</v>
      </c>
      <c r="P139" s="1" t="s">
        <v>32</v>
      </c>
      <c r="S139" s="1">
        <f t="shared" si="5"/>
        <v>169.7</v>
      </c>
      <c r="T139" s="2">
        <v>53.3</v>
      </c>
    </row>
    <row r="140" spans="1:20" ht="15.75" customHeight="1" x14ac:dyDescent="0.2">
      <c r="A140" s="6">
        <v>140</v>
      </c>
      <c r="C140" s="1">
        <v>28</v>
      </c>
      <c r="D140" s="1">
        <v>7</v>
      </c>
      <c r="E140" s="1">
        <v>2.5</v>
      </c>
      <c r="F140" s="1" t="s">
        <v>22</v>
      </c>
      <c r="G140" s="1" t="s">
        <v>324</v>
      </c>
      <c r="H140" s="1" t="s">
        <v>23</v>
      </c>
      <c r="J140" s="9">
        <f t="shared" ref="J140:J203" si="6">S140</f>
        <v>133.69999999999999</v>
      </c>
      <c r="K140" s="1">
        <v>1300</v>
      </c>
      <c r="L140" s="1" t="s">
        <v>34</v>
      </c>
      <c r="N140" s="14" t="s">
        <v>327</v>
      </c>
      <c r="P140" s="1" t="s">
        <v>234</v>
      </c>
      <c r="S140" s="1">
        <f t="shared" si="5"/>
        <v>133.69999999999999</v>
      </c>
      <c r="T140" s="2">
        <v>42</v>
      </c>
    </row>
    <row r="141" spans="1:20" ht="15.75" customHeight="1" x14ac:dyDescent="0.2">
      <c r="A141" s="6">
        <v>141</v>
      </c>
      <c r="C141" s="1">
        <v>28</v>
      </c>
      <c r="D141" s="1">
        <v>7.5</v>
      </c>
      <c r="E141" s="1">
        <v>4</v>
      </c>
      <c r="F141" s="1" t="s">
        <v>76</v>
      </c>
      <c r="G141" s="1" t="s">
        <v>77</v>
      </c>
      <c r="H141" s="1" t="s">
        <v>257</v>
      </c>
      <c r="I141" s="1" t="s">
        <v>187</v>
      </c>
      <c r="J141" s="9">
        <f t="shared" si="6"/>
        <v>115.9</v>
      </c>
      <c r="K141" s="1">
        <v>1300</v>
      </c>
      <c r="L141" s="1" t="s">
        <v>55</v>
      </c>
      <c r="N141" s="1" t="s">
        <v>230</v>
      </c>
      <c r="P141" s="1" t="s">
        <v>234</v>
      </c>
      <c r="S141" s="1">
        <f t="shared" si="5"/>
        <v>115.9</v>
      </c>
      <c r="T141" s="2">
        <v>36.4</v>
      </c>
    </row>
    <row r="142" spans="1:20" ht="15.75" customHeight="1" x14ac:dyDescent="0.2">
      <c r="A142" s="6">
        <v>142</v>
      </c>
      <c r="C142" s="1">
        <v>28</v>
      </c>
      <c r="D142" s="1">
        <v>1.5</v>
      </c>
      <c r="E142" s="1">
        <v>2</v>
      </c>
      <c r="F142" s="1" t="s">
        <v>12</v>
      </c>
      <c r="G142" s="1" t="s">
        <v>183</v>
      </c>
      <c r="H142" s="1" t="s">
        <v>380</v>
      </c>
      <c r="J142" s="9">
        <f t="shared" si="6"/>
        <v>100.3</v>
      </c>
      <c r="K142" s="1">
        <v>1300</v>
      </c>
      <c r="L142" s="1" t="s">
        <v>10</v>
      </c>
      <c r="N142" s="1" t="s">
        <v>219</v>
      </c>
      <c r="P142" s="1" t="s">
        <v>234</v>
      </c>
      <c r="Q142" s="1" t="s">
        <v>42</v>
      </c>
      <c r="R142" s="1" t="s">
        <v>13</v>
      </c>
      <c r="S142" s="1">
        <f t="shared" si="5"/>
        <v>100.3</v>
      </c>
      <c r="T142" s="2">
        <v>31.5</v>
      </c>
    </row>
    <row r="143" spans="1:20" ht="15.75" customHeight="1" x14ac:dyDescent="0.2">
      <c r="A143" s="6">
        <v>143</v>
      </c>
      <c r="C143" s="1">
        <v>28</v>
      </c>
      <c r="D143" s="1">
        <v>1</v>
      </c>
      <c r="E143" s="1">
        <v>3</v>
      </c>
      <c r="F143" s="1" t="s">
        <v>22</v>
      </c>
      <c r="G143" s="1" t="s">
        <v>324</v>
      </c>
      <c r="H143" s="1" t="s">
        <v>23</v>
      </c>
      <c r="J143" s="9">
        <f t="shared" si="6"/>
        <v>162.69999999999999</v>
      </c>
      <c r="K143" s="1">
        <v>1300</v>
      </c>
      <c r="L143" s="1" t="s">
        <v>10</v>
      </c>
      <c r="N143" s="16" t="s">
        <v>327</v>
      </c>
      <c r="O143" s="17"/>
      <c r="P143" s="17" t="s">
        <v>32</v>
      </c>
      <c r="Q143" s="1" t="s">
        <v>26</v>
      </c>
      <c r="S143" s="1">
        <f t="shared" si="5"/>
        <v>162.69999999999999</v>
      </c>
      <c r="T143" s="2">
        <v>51.1</v>
      </c>
    </row>
    <row r="144" spans="1:20" ht="15.75" customHeight="1" x14ac:dyDescent="0.2">
      <c r="A144" s="6">
        <v>144</v>
      </c>
      <c r="C144" s="1">
        <v>28</v>
      </c>
      <c r="D144" s="1">
        <v>3</v>
      </c>
      <c r="E144" s="1">
        <v>6.6</v>
      </c>
      <c r="F144" s="1" t="s">
        <v>54</v>
      </c>
      <c r="G144" s="1" t="s">
        <v>274</v>
      </c>
      <c r="H144" s="1" t="s">
        <v>37</v>
      </c>
      <c r="J144" s="9">
        <f t="shared" si="6"/>
        <v>179.8</v>
      </c>
      <c r="K144" s="1">
        <v>1300</v>
      </c>
      <c r="L144" s="1" t="s">
        <v>10</v>
      </c>
      <c r="N144" s="14" t="s">
        <v>286</v>
      </c>
      <c r="P144" s="1" t="s">
        <v>32</v>
      </c>
      <c r="Q144" s="1" t="s">
        <v>367</v>
      </c>
      <c r="S144" s="1">
        <f t="shared" si="5"/>
        <v>179.8</v>
      </c>
      <c r="T144" s="2">
        <v>56.5</v>
      </c>
    </row>
    <row r="145" spans="1:20" ht="15.75" customHeight="1" x14ac:dyDescent="0.2">
      <c r="A145" s="6">
        <v>145</v>
      </c>
      <c r="C145" s="1">
        <v>28</v>
      </c>
      <c r="D145" s="1">
        <v>4</v>
      </c>
      <c r="E145" s="1">
        <v>5</v>
      </c>
      <c r="F145" s="1" t="s">
        <v>22</v>
      </c>
      <c r="G145" s="1" t="s">
        <v>195</v>
      </c>
      <c r="H145" s="1" t="s">
        <v>30</v>
      </c>
      <c r="J145" s="9">
        <f t="shared" si="6"/>
        <v>152.5</v>
      </c>
      <c r="K145" s="1">
        <v>1300</v>
      </c>
      <c r="L145" s="1" t="s">
        <v>10</v>
      </c>
      <c r="N145" s="1" t="s">
        <v>202</v>
      </c>
      <c r="P145" s="1" t="s">
        <v>234</v>
      </c>
      <c r="Q145" s="1" t="s">
        <v>26</v>
      </c>
      <c r="S145" s="1">
        <f t="shared" si="5"/>
        <v>152.5</v>
      </c>
      <c r="T145" s="2">
        <v>47.9</v>
      </c>
    </row>
    <row r="146" spans="1:20" ht="15.75" customHeight="1" x14ac:dyDescent="0.2">
      <c r="A146" s="6">
        <v>146</v>
      </c>
      <c r="C146" s="1">
        <v>28</v>
      </c>
      <c r="D146" s="1">
        <v>0.3</v>
      </c>
      <c r="E146" s="1">
        <v>6</v>
      </c>
      <c r="F146" s="1" t="s">
        <v>22</v>
      </c>
      <c r="G146" s="1" t="s">
        <v>324</v>
      </c>
      <c r="H146" s="1" t="s">
        <v>23</v>
      </c>
      <c r="J146" s="9">
        <f t="shared" si="6"/>
        <v>151.19999999999999</v>
      </c>
      <c r="K146" s="1">
        <v>1300</v>
      </c>
      <c r="L146" s="1" t="s">
        <v>10</v>
      </c>
      <c r="N146" s="15" t="s">
        <v>404</v>
      </c>
      <c r="O146" s="17"/>
      <c r="P146" s="17" t="s">
        <v>32</v>
      </c>
      <c r="Q146" s="1" t="s">
        <v>73</v>
      </c>
      <c r="S146" s="1">
        <f t="shared" si="5"/>
        <v>151.19999999999999</v>
      </c>
      <c r="T146" s="2">
        <v>47.5</v>
      </c>
    </row>
    <row r="147" spans="1:20" ht="15.75" customHeight="1" x14ac:dyDescent="0.2">
      <c r="A147" s="6">
        <v>147</v>
      </c>
      <c r="C147" s="1">
        <v>28</v>
      </c>
      <c r="D147" s="1">
        <v>4</v>
      </c>
      <c r="E147" s="1">
        <v>8</v>
      </c>
      <c r="F147" s="1" t="s">
        <v>59</v>
      </c>
      <c r="G147" s="1" t="s">
        <v>60</v>
      </c>
      <c r="H147" s="1" t="s">
        <v>255</v>
      </c>
      <c r="J147" s="9">
        <f t="shared" si="6"/>
        <v>206.29999999999998</v>
      </c>
      <c r="K147" s="1">
        <v>2000</v>
      </c>
      <c r="L147" s="1" t="s">
        <v>28</v>
      </c>
      <c r="N147" s="14" t="s">
        <v>308</v>
      </c>
      <c r="P147" s="1" t="s">
        <v>32</v>
      </c>
      <c r="S147" s="1">
        <f t="shared" si="5"/>
        <v>206.29999999999998</v>
      </c>
      <c r="T147" s="2">
        <v>64.8</v>
      </c>
    </row>
    <row r="148" spans="1:20" ht="15.75" customHeight="1" x14ac:dyDescent="0.2">
      <c r="A148" s="6">
        <v>148</v>
      </c>
      <c r="C148" s="1">
        <v>28</v>
      </c>
      <c r="D148" s="1">
        <v>9.9</v>
      </c>
      <c r="E148" s="1">
        <v>7</v>
      </c>
      <c r="F148" s="1" t="s">
        <v>22</v>
      </c>
      <c r="G148" s="1" t="s">
        <v>193</v>
      </c>
      <c r="H148" s="1" t="s">
        <v>261</v>
      </c>
      <c r="J148" s="9">
        <f t="shared" si="6"/>
        <v>150.6</v>
      </c>
      <c r="K148" s="1">
        <v>1300</v>
      </c>
      <c r="L148" s="1" t="s">
        <v>19</v>
      </c>
      <c r="N148" s="1" t="s">
        <v>224</v>
      </c>
      <c r="P148" s="1" t="s">
        <v>234</v>
      </c>
      <c r="Q148" s="1" t="s">
        <v>97</v>
      </c>
      <c r="S148" s="1">
        <f t="shared" si="5"/>
        <v>150.6</v>
      </c>
      <c r="T148" s="2">
        <v>47.3</v>
      </c>
    </row>
    <row r="149" spans="1:20" ht="15.75" customHeight="1" x14ac:dyDescent="0.2">
      <c r="A149" s="6">
        <v>149</v>
      </c>
      <c r="C149" s="1">
        <v>29</v>
      </c>
      <c r="D149" s="1">
        <v>4</v>
      </c>
      <c r="E149" s="1">
        <v>1</v>
      </c>
      <c r="F149" s="1" t="s">
        <v>78</v>
      </c>
      <c r="G149" s="1" t="s">
        <v>371</v>
      </c>
      <c r="H149" s="1" t="s">
        <v>79</v>
      </c>
      <c r="J149" s="9">
        <f t="shared" si="6"/>
        <v>271.8</v>
      </c>
      <c r="K149" s="1">
        <v>1800</v>
      </c>
      <c r="L149" s="1" t="s">
        <v>10</v>
      </c>
      <c r="N149" s="14" t="s">
        <v>345</v>
      </c>
      <c r="P149" s="1" t="s">
        <v>32</v>
      </c>
      <c r="Q149" s="1" t="s">
        <v>82</v>
      </c>
      <c r="S149" s="1">
        <f t="shared" si="5"/>
        <v>271.8</v>
      </c>
      <c r="T149" s="2">
        <v>85.4</v>
      </c>
    </row>
    <row r="150" spans="1:20" ht="15.75" customHeight="1" x14ac:dyDescent="0.2">
      <c r="A150" s="6">
        <v>150</v>
      </c>
      <c r="C150" s="1">
        <v>29</v>
      </c>
      <c r="D150" s="1">
        <v>3.5</v>
      </c>
      <c r="E150" s="1">
        <v>0.5</v>
      </c>
      <c r="F150" s="1" t="s">
        <v>78</v>
      </c>
      <c r="G150" s="1" t="s">
        <v>371</v>
      </c>
      <c r="H150" s="1" t="s">
        <v>79</v>
      </c>
      <c r="J150" s="9">
        <f t="shared" si="6"/>
        <v>226.6</v>
      </c>
      <c r="K150" s="1">
        <v>1800</v>
      </c>
      <c r="L150" s="1" t="s">
        <v>10</v>
      </c>
      <c r="N150" s="14" t="s">
        <v>346</v>
      </c>
      <c r="P150" s="1" t="s">
        <v>32</v>
      </c>
      <c r="S150" s="1">
        <f t="shared" si="5"/>
        <v>226.6</v>
      </c>
      <c r="T150" s="2">
        <v>71.2</v>
      </c>
    </row>
    <row r="151" spans="1:20" ht="15.75" customHeight="1" x14ac:dyDescent="0.2">
      <c r="A151" s="6">
        <v>151</v>
      </c>
      <c r="C151" s="1">
        <v>29</v>
      </c>
      <c r="D151" s="1">
        <v>1.5</v>
      </c>
      <c r="E151" s="1">
        <v>2</v>
      </c>
      <c r="F151" s="1" t="s">
        <v>48</v>
      </c>
      <c r="G151" s="1" t="s">
        <v>190</v>
      </c>
      <c r="H151" s="1" t="s">
        <v>249</v>
      </c>
      <c r="J151" s="9">
        <f t="shared" si="6"/>
        <v>206.9</v>
      </c>
      <c r="K151" s="1">
        <v>1300</v>
      </c>
      <c r="L151" s="1" t="s">
        <v>10</v>
      </c>
      <c r="N151" s="1" t="s">
        <v>212</v>
      </c>
      <c r="P151" s="1" t="s">
        <v>234</v>
      </c>
      <c r="S151" s="1">
        <f t="shared" si="5"/>
        <v>206.9</v>
      </c>
      <c r="T151" s="2">
        <v>65</v>
      </c>
    </row>
    <row r="152" spans="1:20" ht="15.75" customHeight="1" x14ac:dyDescent="0.2">
      <c r="A152" s="6">
        <v>152</v>
      </c>
      <c r="C152" s="1">
        <v>29</v>
      </c>
      <c r="D152" s="1">
        <v>2</v>
      </c>
      <c r="E152" s="1">
        <v>2</v>
      </c>
      <c r="F152" s="1" t="s">
        <v>39</v>
      </c>
      <c r="G152" s="1" t="s">
        <v>201</v>
      </c>
      <c r="H152" s="1" t="s">
        <v>387</v>
      </c>
      <c r="J152" s="9">
        <f t="shared" si="6"/>
        <v>337.40000000000003</v>
      </c>
      <c r="K152" s="1">
        <v>1300</v>
      </c>
      <c r="L152" s="1" t="s">
        <v>10</v>
      </c>
      <c r="N152" s="1" t="s">
        <v>211</v>
      </c>
      <c r="P152" s="1" t="s">
        <v>234</v>
      </c>
      <c r="S152" s="1">
        <f t="shared" si="5"/>
        <v>337.40000000000003</v>
      </c>
      <c r="T152" s="2">
        <v>106</v>
      </c>
    </row>
    <row r="153" spans="1:20" ht="15.75" customHeight="1" x14ac:dyDescent="0.2">
      <c r="A153" s="6">
        <v>153</v>
      </c>
      <c r="C153" s="1">
        <v>29</v>
      </c>
      <c r="D153" s="1">
        <v>5</v>
      </c>
      <c r="E153" s="1">
        <v>5</v>
      </c>
      <c r="F153" s="1" t="s">
        <v>48</v>
      </c>
      <c r="G153" s="1" t="s">
        <v>374</v>
      </c>
      <c r="H153" s="1" t="s">
        <v>98</v>
      </c>
      <c r="J153" s="9">
        <f t="shared" si="6"/>
        <v>186.20000000000002</v>
      </c>
      <c r="K153" s="1">
        <v>1300</v>
      </c>
      <c r="L153" s="1" t="s">
        <v>10</v>
      </c>
      <c r="N153" s="14" t="s">
        <v>312</v>
      </c>
      <c r="P153" s="1" t="s">
        <v>32</v>
      </c>
      <c r="S153" s="1">
        <f t="shared" si="5"/>
        <v>186.20000000000002</v>
      </c>
      <c r="T153" s="2">
        <v>58.5</v>
      </c>
    </row>
    <row r="154" spans="1:20" ht="15.75" customHeight="1" x14ac:dyDescent="0.2">
      <c r="A154" s="6">
        <v>154</v>
      </c>
      <c r="C154" s="1">
        <v>29</v>
      </c>
      <c r="D154" s="1">
        <v>6.5</v>
      </c>
      <c r="E154" s="1">
        <v>4</v>
      </c>
      <c r="F154" s="1" t="s">
        <v>186</v>
      </c>
      <c r="G154" s="1" t="s">
        <v>200</v>
      </c>
      <c r="H154" s="1" t="s">
        <v>255</v>
      </c>
      <c r="J154" s="9">
        <f t="shared" si="6"/>
        <v>113.3</v>
      </c>
      <c r="K154" s="1">
        <v>1300</v>
      </c>
      <c r="L154" s="1" t="s">
        <v>10</v>
      </c>
      <c r="N154" s="1" t="s">
        <v>228</v>
      </c>
      <c r="P154" s="1" t="s">
        <v>234</v>
      </c>
      <c r="Q154" s="1" t="s">
        <v>99</v>
      </c>
      <c r="S154" s="1">
        <f t="shared" si="5"/>
        <v>113.3</v>
      </c>
      <c r="T154" s="2">
        <v>35.6</v>
      </c>
    </row>
    <row r="155" spans="1:20" ht="15.75" customHeight="1" x14ac:dyDescent="0.2">
      <c r="A155" s="6">
        <v>155</v>
      </c>
      <c r="C155" s="1">
        <v>29</v>
      </c>
      <c r="D155" s="1">
        <v>9</v>
      </c>
      <c r="E155" s="1">
        <v>5</v>
      </c>
      <c r="F155" s="1" t="s">
        <v>39</v>
      </c>
      <c r="G155" s="1" t="s">
        <v>280</v>
      </c>
      <c r="H155" s="11" t="s">
        <v>281</v>
      </c>
      <c r="I155" s="1" t="s">
        <v>100</v>
      </c>
      <c r="J155" s="9">
        <f t="shared" si="6"/>
        <v>190</v>
      </c>
      <c r="K155" s="1">
        <v>1300</v>
      </c>
      <c r="L155" s="1" t="s">
        <v>10</v>
      </c>
      <c r="N155" s="14" t="s">
        <v>313</v>
      </c>
      <c r="P155" s="1" t="s">
        <v>32</v>
      </c>
      <c r="S155" s="1">
        <f t="shared" si="5"/>
        <v>190</v>
      </c>
      <c r="T155" s="2">
        <v>59.7</v>
      </c>
    </row>
    <row r="156" spans="1:20" ht="15.75" customHeight="1" x14ac:dyDescent="0.2">
      <c r="A156" s="6">
        <v>156</v>
      </c>
      <c r="C156" s="1">
        <v>29</v>
      </c>
      <c r="D156" s="1">
        <v>5</v>
      </c>
      <c r="E156" s="1">
        <v>6.5</v>
      </c>
      <c r="F156" s="1" t="s">
        <v>186</v>
      </c>
      <c r="G156" s="1" t="s">
        <v>200</v>
      </c>
      <c r="H156" s="1" t="s">
        <v>255</v>
      </c>
      <c r="J156" s="9">
        <f t="shared" si="6"/>
        <v>114.3</v>
      </c>
      <c r="K156" s="1">
        <v>1300</v>
      </c>
      <c r="L156" s="1" t="s">
        <v>10</v>
      </c>
      <c r="N156" s="1" t="s">
        <v>228</v>
      </c>
      <c r="P156" s="1" t="s">
        <v>234</v>
      </c>
      <c r="S156" s="1">
        <f t="shared" si="5"/>
        <v>114.3</v>
      </c>
      <c r="T156" s="2">
        <v>35.9</v>
      </c>
    </row>
    <row r="157" spans="1:20" ht="15.75" customHeight="1" x14ac:dyDescent="0.2">
      <c r="A157" s="6">
        <v>157</v>
      </c>
      <c r="C157" s="1">
        <v>30</v>
      </c>
      <c r="D157" s="1">
        <v>7</v>
      </c>
      <c r="E157" s="1">
        <v>2</v>
      </c>
      <c r="F157" s="1" t="s">
        <v>12</v>
      </c>
      <c r="G157" s="1" t="s">
        <v>183</v>
      </c>
      <c r="H157" s="1" t="s">
        <v>380</v>
      </c>
      <c r="J157" s="9">
        <f t="shared" si="6"/>
        <v>167.7</v>
      </c>
      <c r="K157" s="1">
        <v>1300</v>
      </c>
      <c r="L157" s="1" t="s">
        <v>10</v>
      </c>
      <c r="N157" s="1" t="s">
        <v>219</v>
      </c>
      <c r="P157" s="1" t="s">
        <v>234</v>
      </c>
      <c r="Q157" s="1" t="s">
        <v>42</v>
      </c>
      <c r="R157" s="1" t="s">
        <v>13</v>
      </c>
      <c r="S157" s="1">
        <f t="shared" si="5"/>
        <v>167.7</v>
      </c>
      <c r="T157" s="2">
        <v>52.7</v>
      </c>
    </row>
    <row r="158" spans="1:20" ht="15.75" customHeight="1" x14ac:dyDescent="0.2">
      <c r="A158" s="6">
        <v>158</v>
      </c>
      <c r="C158" s="1">
        <v>30</v>
      </c>
      <c r="D158" s="1">
        <v>3</v>
      </c>
      <c r="E158" s="1">
        <v>1.5</v>
      </c>
      <c r="F158" s="1" t="s">
        <v>20</v>
      </c>
      <c r="G158" s="1" t="s">
        <v>101</v>
      </c>
      <c r="H158" s="1" t="s">
        <v>244</v>
      </c>
      <c r="J158" s="9">
        <f t="shared" si="6"/>
        <v>120.3</v>
      </c>
      <c r="K158" s="1">
        <v>1300</v>
      </c>
      <c r="L158" s="1" t="s">
        <v>10</v>
      </c>
      <c r="S158" s="1">
        <f t="shared" si="5"/>
        <v>120.3</v>
      </c>
      <c r="T158" s="2">
        <v>37.799999999999997</v>
      </c>
    </row>
    <row r="159" spans="1:20" ht="15.75" customHeight="1" x14ac:dyDescent="0.2">
      <c r="A159" s="6">
        <v>159</v>
      </c>
      <c r="C159" s="1">
        <v>30</v>
      </c>
      <c r="D159" s="1">
        <v>1</v>
      </c>
      <c r="E159" s="1">
        <v>2.5</v>
      </c>
      <c r="F159" s="1" t="s">
        <v>48</v>
      </c>
      <c r="G159" s="1" t="s">
        <v>190</v>
      </c>
      <c r="H159" s="1" t="s">
        <v>249</v>
      </c>
      <c r="J159" s="9">
        <f t="shared" si="6"/>
        <v>114.9</v>
      </c>
      <c r="K159" s="1">
        <v>1300</v>
      </c>
      <c r="L159" s="1" t="s">
        <v>10</v>
      </c>
      <c r="N159" s="1" t="s">
        <v>212</v>
      </c>
      <c r="P159" s="1" t="s">
        <v>234</v>
      </c>
      <c r="Q159" s="1" t="s">
        <v>26</v>
      </c>
      <c r="S159" s="1">
        <f t="shared" si="5"/>
        <v>114.9</v>
      </c>
      <c r="T159" s="2">
        <v>36.1</v>
      </c>
    </row>
    <row r="160" spans="1:20" ht="15.75" customHeight="1" x14ac:dyDescent="0.2">
      <c r="A160" s="6">
        <v>160</v>
      </c>
      <c r="C160" s="1">
        <v>30</v>
      </c>
      <c r="D160" s="1">
        <v>1.8</v>
      </c>
      <c r="E160" s="1">
        <v>3</v>
      </c>
      <c r="F160" s="1" t="s">
        <v>22</v>
      </c>
      <c r="G160" s="1" t="s">
        <v>324</v>
      </c>
      <c r="H160" s="1" t="s">
        <v>23</v>
      </c>
      <c r="J160" s="9">
        <f t="shared" si="6"/>
        <v>190</v>
      </c>
      <c r="K160" s="1">
        <v>1300</v>
      </c>
      <c r="L160" s="1" t="s">
        <v>10</v>
      </c>
      <c r="N160" s="14" t="s">
        <v>327</v>
      </c>
      <c r="P160" s="1" t="s">
        <v>234</v>
      </c>
      <c r="S160" s="1">
        <f t="shared" si="5"/>
        <v>190</v>
      </c>
      <c r="T160" s="2">
        <v>59.7</v>
      </c>
    </row>
    <row r="161" spans="1:20" ht="15.75" customHeight="1" x14ac:dyDescent="0.2">
      <c r="A161" s="6">
        <v>161</v>
      </c>
      <c r="C161" s="1">
        <v>30</v>
      </c>
      <c r="D161" s="1">
        <v>3.5</v>
      </c>
      <c r="E161" s="1">
        <v>6.5</v>
      </c>
      <c r="F161" s="1" t="s">
        <v>186</v>
      </c>
      <c r="G161" s="1" t="s">
        <v>200</v>
      </c>
      <c r="H161" s="1" t="s">
        <v>255</v>
      </c>
      <c r="J161" s="9">
        <f t="shared" si="6"/>
        <v>165.5</v>
      </c>
      <c r="K161" s="1">
        <v>1300</v>
      </c>
      <c r="L161" s="1" t="s">
        <v>102</v>
      </c>
      <c r="N161" s="1" t="s">
        <v>228</v>
      </c>
      <c r="P161" s="1" t="s">
        <v>234</v>
      </c>
      <c r="Q161" s="1" t="s">
        <v>103</v>
      </c>
      <c r="S161" s="1">
        <f t="shared" si="5"/>
        <v>165.5</v>
      </c>
      <c r="T161" s="2">
        <v>52</v>
      </c>
    </row>
    <row r="162" spans="1:20" ht="15.75" customHeight="1" x14ac:dyDescent="0.2">
      <c r="A162" s="6">
        <v>162</v>
      </c>
      <c r="C162" s="1">
        <v>30</v>
      </c>
      <c r="D162" s="1">
        <v>6.5</v>
      </c>
      <c r="E162" s="1">
        <v>9</v>
      </c>
      <c r="F162" s="1" t="s">
        <v>48</v>
      </c>
      <c r="G162" s="1" t="s">
        <v>189</v>
      </c>
      <c r="H162" s="1" t="s">
        <v>49</v>
      </c>
      <c r="J162" s="9">
        <f t="shared" si="6"/>
        <v>124.1</v>
      </c>
      <c r="K162" s="1">
        <v>1300</v>
      </c>
      <c r="L162" s="1" t="s">
        <v>104</v>
      </c>
      <c r="N162" s="1" t="s">
        <v>208</v>
      </c>
      <c r="P162" s="1" t="s">
        <v>234</v>
      </c>
      <c r="R162" s="1" t="s">
        <v>50</v>
      </c>
      <c r="S162" s="1">
        <f t="shared" si="5"/>
        <v>124.1</v>
      </c>
      <c r="T162" s="2">
        <v>39</v>
      </c>
    </row>
    <row r="163" spans="1:20" ht="15.75" customHeight="1" x14ac:dyDescent="0.2">
      <c r="A163" s="6">
        <v>163</v>
      </c>
      <c r="C163" s="1">
        <v>30</v>
      </c>
      <c r="D163" s="1">
        <v>8</v>
      </c>
      <c r="E163" s="1">
        <v>7</v>
      </c>
      <c r="F163" s="1" t="s">
        <v>22</v>
      </c>
      <c r="G163" s="1" t="s">
        <v>273</v>
      </c>
      <c r="H163" s="1" t="s">
        <v>248</v>
      </c>
      <c r="J163" s="9">
        <f t="shared" si="6"/>
        <v>178.29999999999998</v>
      </c>
      <c r="K163" s="1">
        <v>1300</v>
      </c>
      <c r="L163" s="1" t="s">
        <v>19</v>
      </c>
      <c r="N163" s="14" t="s">
        <v>290</v>
      </c>
      <c r="P163" s="1" t="s">
        <v>32</v>
      </c>
      <c r="Q163" s="1" t="s">
        <v>105</v>
      </c>
      <c r="S163" s="1">
        <f t="shared" si="5"/>
        <v>178.29999999999998</v>
      </c>
      <c r="T163" s="2">
        <v>56</v>
      </c>
    </row>
    <row r="164" spans="1:20" ht="15.75" customHeight="1" x14ac:dyDescent="0.2">
      <c r="A164" s="6">
        <v>164</v>
      </c>
      <c r="C164" s="1">
        <v>30</v>
      </c>
      <c r="D164" s="1">
        <v>8</v>
      </c>
      <c r="E164" s="1">
        <v>6</v>
      </c>
      <c r="F164" s="1" t="s">
        <v>22</v>
      </c>
      <c r="G164" s="1" t="s">
        <v>273</v>
      </c>
      <c r="H164" s="1" t="s">
        <v>248</v>
      </c>
      <c r="J164" s="9">
        <f t="shared" si="6"/>
        <v>316.70000000000005</v>
      </c>
      <c r="K164" s="1">
        <v>1300</v>
      </c>
      <c r="L164" s="1" t="s">
        <v>19</v>
      </c>
      <c r="N164" s="14" t="s">
        <v>290</v>
      </c>
      <c r="P164" s="1" t="s">
        <v>234</v>
      </c>
      <c r="Q164" s="1" t="s">
        <v>106</v>
      </c>
      <c r="S164" s="1">
        <f t="shared" si="5"/>
        <v>316.70000000000005</v>
      </c>
      <c r="T164" s="2">
        <v>99.5</v>
      </c>
    </row>
    <row r="165" spans="1:20" ht="15.75" customHeight="1" x14ac:dyDescent="0.2">
      <c r="A165" s="6">
        <v>165</v>
      </c>
      <c r="C165" s="1">
        <v>31</v>
      </c>
      <c r="D165" s="1">
        <v>0.5</v>
      </c>
      <c r="E165" s="1">
        <v>9.5</v>
      </c>
      <c r="F165" s="1" t="s">
        <v>186</v>
      </c>
      <c r="G165" s="1" t="s">
        <v>200</v>
      </c>
      <c r="H165" s="1" t="s">
        <v>255</v>
      </c>
      <c r="J165" s="9">
        <f t="shared" si="6"/>
        <v>200.5</v>
      </c>
      <c r="K165" s="1">
        <v>1300</v>
      </c>
      <c r="L165" s="1" t="s">
        <v>107</v>
      </c>
      <c r="N165" s="1" t="s">
        <v>228</v>
      </c>
      <c r="P165" s="1" t="s">
        <v>234</v>
      </c>
      <c r="Q165" s="1" t="s">
        <v>108</v>
      </c>
      <c r="S165" s="1">
        <f t="shared" si="5"/>
        <v>200.5</v>
      </c>
      <c r="T165" s="2">
        <v>63</v>
      </c>
    </row>
    <row r="166" spans="1:20" ht="15.75" customHeight="1" x14ac:dyDescent="0.2">
      <c r="A166" s="6">
        <v>166</v>
      </c>
      <c r="C166" s="1">
        <v>31</v>
      </c>
      <c r="D166" s="1">
        <v>3.5</v>
      </c>
      <c r="E166" s="1">
        <v>1.5</v>
      </c>
      <c r="F166" s="1" t="s">
        <v>48</v>
      </c>
      <c r="G166" s="1" t="s">
        <v>190</v>
      </c>
      <c r="H166" s="1" t="s">
        <v>249</v>
      </c>
      <c r="J166" s="9">
        <f t="shared" si="6"/>
        <v>200.5</v>
      </c>
      <c r="K166" s="1">
        <v>1300</v>
      </c>
      <c r="L166" s="1" t="s">
        <v>10</v>
      </c>
      <c r="N166" s="1" t="s">
        <v>212</v>
      </c>
      <c r="P166" s="1" t="s">
        <v>234</v>
      </c>
      <c r="S166" s="1">
        <f t="shared" si="5"/>
        <v>200.5</v>
      </c>
      <c r="T166" s="2">
        <v>63</v>
      </c>
    </row>
    <row r="167" spans="1:20" ht="15.75" customHeight="1" x14ac:dyDescent="0.2">
      <c r="A167" s="6">
        <v>167</v>
      </c>
      <c r="C167" s="1">
        <v>31</v>
      </c>
      <c r="D167" s="1">
        <v>3.5</v>
      </c>
      <c r="E167" s="1">
        <v>5</v>
      </c>
      <c r="F167" s="1" t="s">
        <v>65</v>
      </c>
      <c r="G167" s="1" t="s">
        <v>182</v>
      </c>
      <c r="H167" s="1" t="s">
        <v>66</v>
      </c>
      <c r="J167" s="9">
        <f t="shared" si="6"/>
        <v>233.29999999999998</v>
      </c>
      <c r="K167" s="1">
        <v>1300</v>
      </c>
      <c r="L167" s="1" t="s">
        <v>109</v>
      </c>
      <c r="N167" s="1" t="s">
        <v>213</v>
      </c>
      <c r="P167" s="1" t="s">
        <v>234</v>
      </c>
      <c r="Q167" s="1" t="s">
        <v>110</v>
      </c>
      <c r="S167" s="1">
        <f t="shared" si="5"/>
        <v>233.29999999999998</v>
      </c>
      <c r="T167" s="2">
        <v>73.3</v>
      </c>
    </row>
    <row r="168" spans="1:20" ht="15.75" customHeight="1" x14ac:dyDescent="0.2">
      <c r="A168" s="6">
        <v>168</v>
      </c>
      <c r="C168" s="1">
        <v>31</v>
      </c>
      <c r="D168" s="1">
        <v>3.5</v>
      </c>
      <c r="E168" s="1">
        <v>0.5</v>
      </c>
      <c r="F168" s="1" t="s">
        <v>39</v>
      </c>
      <c r="G168" s="1" t="s">
        <v>400</v>
      </c>
      <c r="H168" s="1" t="s">
        <v>264</v>
      </c>
      <c r="J168" s="9">
        <f t="shared" si="6"/>
        <v>150.9</v>
      </c>
      <c r="K168" s="1">
        <v>1300</v>
      </c>
      <c r="L168" s="1" t="s">
        <v>45</v>
      </c>
      <c r="N168" s="1" t="s">
        <v>207</v>
      </c>
      <c r="P168" s="1" t="s">
        <v>234</v>
      </c>
      <c r="Q168" s="1" t="s">
        <v>110</v>
      </c>
      <c r="S168" s="1">
        <f t="shared" si="5"/>
        <v>150.9</v>
      </c>
      <c r="T168" s="2">
        <v>47.4</v>
      </c>
    </row>
    <row r="169" spans="1:20" ht="15.75" customHeight="1" x14ac:dyDescent="0.2">
      <c r="A169" s="6">
        <v>169</v>
      </c>
      <c r="C169" s="1">
        <v>31</v>
      </c>
      <c r="D169" s="1">
        <v>8</v>
      </c>
      <c r="E169" s="1">
        <v>3</v>
      </c>
      <c r="F169" s="1" t="s">
        <v>22</v>
      </c>
      <c r="G169" s="1" t="s">
        <v>191</v>
      </c>
      <c r="H169" s="1" t="s">
        <v>245</v>
      </c>
      <c r="J169" s="9">
        <f t="shared" si="6"/>
        <v>315.10000000000002</v>
      </c>
      <c r="K169" s="1">
        <v>1300</v>
      </c>
      <c r="L169" s="1" t="s">
        <v>10</v>
      </c>
      <c r="N169" s="1" t="s">
        <v>214</v>
      </c>
      <c r="O169" s="1" t="s">
        <v>234</v>
      </c>
      <c r="P169" s="1" t="s">
        <v>234</v>
      </c>
      <c r="Q169" s="1" t="s">
        <v>26</v>
      </c>
      <c r="S169" s="1">
        <f t="shared" si="5"/>
        <v>315.10000000000002</v>
      </c>
      <c r="T169" s="2">
        <v>99</v>
      </c>
    </row>
    <row r="170" spans="1:20" ht="15.75" customHeight="1" x14ac:dyDescent="0.2">
      <c r="A170" s="6">
        <v>170</v>
      </c>
      <c r="C170" s="1">
        <v>31</v>
      </c>
      <c r="D170" s="1">
        <v>7</v>
      </c>
      <c r="E170" s="1">
        <v>3</v>
      </c>
      <c r="F170" s="1" t="s">
        <v>54</v>
      </c>
      <c r="G170" s="1" t="s">
        <v>16</v>
      </c>
      <c r="H170" s="1" t="s">
        <v>266</v>
      </c>
      <c r="J170" s="9">
        <f t="shared" si="6"/>
        <v>235.5</v>
      </c>
      <c r="K170" s="1">
        <v>1300</v>
      </c>
      <c r="L170" s="1" t="s">
        <v>10</v>
      </c>
      <c r="N170" s="14" t="s">
        <v>304</v>
      </c>
      <c r="P170" s="1" t="s">
        <v>32</v>
      </c>
      <c r="S170" s="1">
        <f t="shared" si="5"/>
        <v>235.5</v>
      </c>
      <c r="T170" s="2">
        <v>74</v>
      </c>
    </row>
    <row r="171" spans="1:20" ht="15.75" customHeight="1" x14ac:dyDescent="0.2">
      <c r="A171" s="6">
        <v>171</v>
      </c>
      <c r="C171" s="1">
        <v>31</v>
      </c>
      <c r="D171" s="1">
        <v>8</v>
      </c>
      <c r="E171" s="1">
        <v>7</v>
      </c>
      <c r="F171" s="1" t="s">
        <v>279</v>
      </c>
      <c r="G171" s="1" t="s">
        <v>283</v>
      </c>
      <c r="H171" s="1" t="s">
        <v>342</v>
      </c>
      <c r="J171" s="9">
        <f t="shared" si="6"/>
        <v>127.6</v>
      </c>
      <c r="K171" s="1">
        <v>1300</v>
      </c>
      <c r="L171" s="1" t="s">
        <v>10</v>
      </c>
      <c r="N171" s="14" t="s">
        <v>310</v>
      </c>
      <c r="P171" s="1" t="s">
        <v>32</v>
      </c>
      <c r="S171" s="1">
        <f t="shared" si="5"/>
        <v>127.6</v>
      </c>
      <c r="T171" s="2">
        <v>40.1</v>
      </c>
    </row>
    <row r="172" spans="1:20" ht="15.75" customHeight="1" x14ac:dyDescent="0.2">
      <c r="A172" s="6">
        <v>172</v>
      </c>
      <c r="C172" s="1">
        <v>32</v>
      </c>
      <c r="D172" s="1">
        <v>2</v>
      </c>
      <c r="E172" s="1">
        <v>8</v>
      </c>
      <c r="F172" s="1" t="s">
        <v>12</v>
      </c>
      <c r="G172" s="1" t="s">
        <v>183</v>
      </c>
      <c r="H172" s="1" t="s">
        <v>380</v>
      </c>
      <c r="J172" s="9">
        <f t="shared" si="6"/>
        <v>125.7</v>
      </c>
      <c r="K172" s="1">
        <v>1300</v>
      </c>
      <c r="L172" s="1" t="s">
        <v>10</v>
      </c>
      <c r="N172" s="1" t="s">
        <v>219</v>
      </c>
      <c r="P172" s="1" t="s">
        <v>234</v>
      </c>
      <c r="Q172" s="1" t="s">
        <v>42</v>
      </c>
      <c r="R172" s="1" t="s">
        <v>13</v>
      </c>
      <c r="S172" s="1">
        <f t="shared" si="5"/>
        <v>125.7</v>
      </c>
      <c r="T172" s="2">
        <v>39.5</v>
      </c>
    </row>
    <row r="173" spans="1:20" ht="15.75" customHeight="1" x14ac:dyDescent="0.2">
      <c r="A173" s="6">
        <v>173</v>
      </c>
      <c r="C173" s="1">
        <v>32</v>
      </c>
      <c r="D173" s="1">
        <v>4</v>
      </c>
      <c r="E173" s="1">
        <v>5</v>
      </c>
      <c r="F173" s="1" t="s">
        <v>86</v>
      </c>
      <c r="G173" s="1" t="s">
        <v>197</v>
      </c>
      <c r="H173" s="8" t="s">
        <v>250</v>
      </c>
      <c r="J173" s="9">
        <f t="shared" si="6"/>
        <v>158.5</v>
      </c>
      <c r="K173" s="1">
        <v>1300</v>
      </c>
      <c r="L173" s="1" t="s">
        <v>19</v>
      </c>
      <c r="N173" s="1" t="s">
        <v>204</v>
      </c>
      <c r="P173" s="1" t="s">
        <v>234</v>
      </c>
      <c r="Q173" s="1" t="s">
        <v>403</v>
      </c>
      <c r="S173" s="1">
        <f t="shared" si="5"/>
        <v>158.5</v>
      </c>
      <c r="T173" s="2">
        <v>49.8</v>
      </c>
    </row>
    <row r="174" spans="1:20" ht="15.75" customHeight="1" x14ac:dyDescent="0.2">
      <c r="A174" s="6">
        <v>174</v>
      </c>
      <c r="C174" s="1">
        <v>32</v>
      </c>
      <c r="D174" s="1">
        <v>8</v>
      </c>
      <c r="E174" s="1">
        <v>4</v>
      </c>
      <c r="F174" s="1" t="s">
        <v>111</v>
      </c>
      <c r="G174" s="1" t="s">
        <v>263</v>
      </c>
      <c r="H174" s="1" t="s">
        <v>112</v>
      </c>
      <c r="J174" s="9">
        <f t="shared" si="6"/>
        <v>113.6</v>
      </c>
      <c r="K174" s="1">
        <v>1300</v>
      </c>
      <c r="L174" s="1" t="s">
        <v>34</v>
      </c>
      <c r="N174" s="14" t="s">
        <v>319</v>
      </c>
      <c r="P174" s="1" t="s">
        <v>32</v>
      </c>
      <c r="S174" s="1">
        <f t="shared" si="5"/>
        <v>113.6</v>
      </c>
      <c r="T174" s="2">
        <v>35.700000000000003</v>
      </c>
    </row>
    <row r="175" spans="1:20" ht="15.75" customHeight="1" x14ac:dyDescent="0.2">
      <c r="A175" s="6">
        <v>175</v>
      </c>
      <c r="C175" s="1">
        <v>32</v>
      </c>
      <c r="D175" s="1">
        <v>9</v>
      </c>
      <c r="E175" s="1">
        <v>6</v>
      </c>
      <c r="F175" s="1" t="s">
        <v>15</v>
      </c>
      <c r="G175" s="1" t="s">
        <v>16</v>
      </c>
      <c r="H175" s="1" t="s">
        <v>268</v>
      </c>
      <c r="J175" s="9">
        <f t="shared" si="6"/>
        <v>120.60000000000001</v>
      </c>
      <c r="K175" s="1">
        <v>1300</v>
      </c>
      <c r="L175" s="1" t="s">
        <v>34</v>
      </c>
      <c r="S175" s="1">
        <f t="shared" si="5"/>
        <v>120.60000000000001</v>
      </c>
      <c r="T175" s="2">
        <v>37.9</v>
      </c>
    </row>
    <row r="176" spans="1:20" ht="15.75" customHeight="1" x14ac:dyDescent="0.2">
      <c r="A176" s="6">
        <v>176</v>
      </c>
      <c r="C176" s="1">
        <v>33</v>
      </c>
      <c r="D176" s="1">
        <v>7.5</v>
      </c>
      <c r="E176" s="1">
        <v>5</v>
      </c>
      <c r="F176" s="1" t="s">
        <v>78</v>
      </c>
      <c r="G176" s="1" t="s">
        <v>192</v>
      </c>
      <c r="H176" s="1" t="s">
        <v>95</v>
      </c>
      <c r="J176" s="9">
        <f t="shared" si="6"/>
        <v>133.69999999999999</v>
      </c>
      <c r="K176" s="1">
        <v>1300</v>
      </c>
      <c r="L176" s="1" t="s">
        <v>10</v>
      </c>
      <c r="N176" s="1" t="s">
        <v>231</v>
      </c>
      <c r="P176" s="1" t="s">
        <v>234</v>
      </c>
      <c r="S176" s="1">
        <f t="shared" si="5"/>
        <v>133.69999999999999</v>
      </c>
      <c r="T176" s="2">
        <v>42</v>
      </c>
    </row>
    <row r="177" spans="1:20" ht="15.75" customHeight="1" x14ac:dyDescent="0.2">
      <c r="A177" s="6">
        <v>177</v>
      </c>
      <c r="C177" s="1">
        <v>33</v>
      </c>
      <c r="D177" s="1">
        <v>4</v>
      </c>
      <c r="E177" s="1">
        <v>8</v>
      </c>
      <c r="F177" s="1" t="s">
        <v>12</v>
      </c>
      <c r="G177" s="1" t="s">
        <v>183</v>
      </c>
      <c r="H177" s="1" t="s">
        <v>380</v>
      </c>
      <c r="J177" s="9">
        <f t="shared" si="6"/>
        <v>127.30000000000001</v>
      </c>
      <c r="K177" s="1">
        <v>1300</v>
      </c>
      <c r="L177" s="1" t="s">
        <v>113</v>
      </c>
      <c r="N177" s="1" t="s">
        <v>219</v>
      </c>
      <c r="P177" s="1" t="s">
        <v>234</v>
      </c>
      <c r="Q177" s="1" t="s">
        <v>42</v>
      </c>
      <c r="R177" s="1" t="s">
        <v>13</v>
      </c>
      <c r="S177" s="1">
        <f t="shared" si="5"/>
        <v>127.30000000000001</v>
      </c>
      <c r="T177" s="2">
        <v>40</v>
      </c>
    </row>
    <row r="178" spans="1:20" ht="15.75" customHeight="1" x14ac:dyDescent="0.2">
      <c r="A178" s="6">
        <v>178</v>
      </c>
      <c r="C178" s="1">
        <v>33</v>
      </c>
      <c r="D178" s="1">
        <v>1.5</v>
      </c>
      <c r="E178" s="1">
        <v>8.5</v>
      </c>
      <c r="F178" s="1" t="s">
        <v>22</v>
      </c>
      <c r="G178" s="1" t="s">
        <v>195</v>
      </c>
      <c r="H178" s="1" t="s">
        <v>30</v>
      </c>
      <c r="J178" s="9">
        <f t="shared" si="6"/>
        <v>122.89999999999999</v>
      </c>
      <c r="K178" s="1">
        <v>1300</v>
      </c>
      <c r="L178" s="1" t="s">
        <v>10</v>
      </c>
      <c r="N178" s="1" t="s">
        <v>202</v>
      </c>
      <c r="P178" s="1" t="s">
        <v>234</v>
      </c>
      <c r="S178" s="1">
        <f t="shared" si="5"/>
        <v>122.89999999999999</v>
      </c>
      <c r="T178" s="2">
        <v>38.6</v>
      </c>
    </row>
    <row r="179" spans="1:20" ht="15.75" customHeight="1" x14ac:dyDescent="0.2">
      <c r="A179" s="6">
        <v>179</v>
      </c>
      <c r="C179" s="1">
        <v>33</v>
      </c>
      <c r="D179" s="1">
        <v>4</v>
      </c>
      <c r="E179" s="1">
        <v>1</v>
      </c>
      <c r="F179" s="1" t="s">
        <v>114</v>
      </c>
      <c r="G179" s="1" t="s">
        <v>185</v>
      </c>
      <c r="H179" s="1" t="s">
        <v>36</v>
      </c>
      <c r="J179" s="9">
        <f t="shared" si="6"/>
        <v>117.8</v>
      </c>
      <c r="K179" s="1">
        <v>1300</v>
      </c>
      <c r="L179" s="1" t="s">
        <v>10</v>
      </c>
      <c r="N179" s="1" t="s">
        <v>216</v>
      </c>
      <c r="P179" s="1" t="s">
        <v>32</v>
      </c>
      <c r="S179" s="1">
        <f t="shared" si="5"/>
        <v>117.8</v>
      </c>
      <c r="T179" s="2">
        <v>37</v>
      </c>
    </row>
    <row r="180" spans="1:20" ht="15.75" customHeight="1" x14ac:dyDescent="0.2">
      <c r="A180" s="6">
        <v>180</v>
      </c>
      <c r="C180" s="1">
        <v>34</v>
      </c>
      <c r="D180" s="1">
        <v>5</v>
      </c>
      <c r="E180" s="1">
        <v>8.5</v>
      </c>
      <c r="F180" s="1" t="s">
        <v>22</v>
      </c>
      <c r="G180" s="1" t="s">
        <v>195</v>
      </c>
      <c r="H180" s="1" t="s">
        <v>30</v>
      </c>
      <c r="J180" s="9">
        <f t="shared" si="6"/>
        <v>108.2</v>
      </c>
      <c r="K180" s="1">
        <v>1300</v>
      </c>
      <c r="L180" s="1" t="s">
        <v>10</v>
      </c>
      <c r="N180" s="1" t="s">
        <v>202</v>
      </c>
      <c r="P180" s="1" t="s">
        <v>234</v>
      </c>
      <c r="Q180" s="1" t="s">
        <v>26</v>
      </c>
      <c r="S180" s="1">
        <f t="shared" si="5"/>
        <v>108.2</v>
      </c>
      <c r="T180" s="2">
        <v>34</v>
      </c>
    </row>
    <row r="181" spans="1:20" ht="15.75" customHeight="1" x14ac:dyDescent="0.2">
      <c r="A181" s="6">
        <v>181</v>
      </c>
      <c r="C181" s="1">
        <v>34</v>
      </c>
      <c r="D181" s="1">
        <v>1</v>
      </c>
      <c r="E181" s="1">
        <v>6</v>
      </c>
      <c r="F181" s="1" t="s">
        <v>86</v>
      </c>
      <c r="G181" s="1" t="s">
        <v>16</v>
      </c>
      <c r="H181" s="1" t="s">
        <v>17</v>
      </c>
      <c r="J181" s="9">
        <f t="shared" si="6"/>
        <v>131.1</v>
      </c>
      <c r="K181" s="1">
        <v>1300</v>
      </c>
      <c r="L181" s="1" t="s">
        <v>10</v>
      </c>
      <c r="N181" s="14" t="s">
        <v>325</v>
      </c>
      <c r="P181" s="1" t="s">
        <v>234</v>
      </c>
      <c r="S181" s="1">
        <f t="shared" si="5"/>
        <v>131.1</v>
      </c>
      <c r="T181" s="2">
        <v>41.2</v>
      </c>
    </row>
    <row r="182" spans="1:20" ht="15.75" customHeight="1" x14ac:dyDescent="0.2">
      <c r="A182" s="6">
        <v>182</v>
      </c>
      <c r="C182" s="1">
        <v>34</v>
      </c>
      <c r="D182" s="1">
        <v>2.5</v>
      </c>
      <c r="E182" s="1">
        <v>3</v>
      </c>
      <c r="F182" s="1" t="s">
        <v>15</v>
      </c>
      <c r="G182" s="1" t="s">
        <v>16</v>
      </c>
      <c r="H182" s="1" t="s">
        <v>268</v>
      </c>
      <c r="J182" s="9">
        <f t="shared" si="6"/>
        <v>234</v>
      </c>
      <c r="K182" s="1">
        <v>1300</v>
      </c>
      <c r="L182" s="1" t="s">
        <v>10</v>
      </c>
      <c r="S182" s="1">
        <f t="shared" si="5"/>
        <v>234</v>
      </c>
      <c r="T182" s="2">
        <v>73.5</v>
      </c>
    </row>
    <row r="183" spans="1:20" ht="15.75" customHeight="1" x14ac:dyDescent="0.2">
      <c r="A183" s="6">
        <v>183</v>
      </c>
      <c r="C183" s="1">
        <v>34</v>
      </c>
      <c r="D183" s="1">
        <v>5</v>
      </c>
      <c r="E183" s="1">
        <v>1.5</v>
      </c>
      <c r="F183" s="1" t="s">
        <v>12</v>
      </c>
      <c r="G183" s="1" t="s">
        <v>183</v>
      </c>
      <c r="H183" s="1" t="s">
        <v>380</v>
      </c>
      <c r="J183" s="9">
        <f t="shared" si="6"/>
        <v>146.1</v>
      </c>
      <c r="K183" s="1">
        <v>1300</v>
      </c>
      <c r="L183" s="1" t="s">
        <v>10</v>
      </c>
      <c r="N183" s="1" t="s">
        <v>219</v>
      </c>
      <c r="P183" s="1" t="s">
        <v>234</v>
      </c>
      <c r="Q183" s="1" t="s">
        <v>26</v>
      </c>
      <c r="R183" s="12" t="s">
        <v>115</v>
      </c>
      <c r="S183" s="1">
        <f t="shared" si="5"/>
        <v>146.1</v>
      </c>
      <c r="T183" s="2">
        <v>45.9</v>
      </c>
    </row>
    <row r="184" spans="1:20" ht="15.75" customHeight="1" x14ac:dyDescent="0.2">
      <c r="A184" s="6">
        <v>184</v>
      </c>
      <c r="C184" s="1">
        <v>35</v>
      </c>
      <c r="D184" s="1">
        <v>7</v>
      </c>
      <c r="E184" s="1">
        <v>9.5</v>
      </c>
      <c r="F184" s="1" t="s">
        <v>20</v>
      </c>
      <c r="G184" s="1" t="s">
        <v>405</v>
      </c>
      <c r="H184" s="1" t="s">
        <v>47</v>
      </c>
      <c r="J184" s="9">
        <f t="shared" si="6"/>
        <v>297.60000000000002</v>
      </c>
      <c r="K184" s="1">
        <v>1300</v>
      </c>
      <c r="L184" s="1" t="s">
        <v>10</v>
      </c>
      <c r="S184" s="1">
        <f t="shared" si="5"/>
        <v>297.60000000000002</v>
      </c>
      <c r="T184" s="2">
        <v>93.5</v>
      </c>
    </row>
    <row r="185" spans="1:20" ht="15.75" customHeight="1" x14ac:dyDescent="0.2">
      <c r="A185" s="6">
        <v>185</v>
      </c>
      <c r="C185" s="1">
        <v>35</v>
      </c>
      <c r="D185" s="1">
        <v>4</v>
      </c>
      <c r="E185" s="1">
        <v>7</v>
      </c>
      <c r="F185" s="1" t="s">
        <v>65</v>
      </c>
      <c r="G185" s="1" t="s">
        <v>184</v>
      </c>
      <c r="H185" s="1" t="s">
        <v>66</v>
      </c>
      <c r="J185" s="9">
        <f t="shared" si="6"/>
        <v>191.9</v>
      </c>
      <c r="K185" s="1">
        <v>1300</v>
      </c>
      <c r="L185" s="1" t="s">
        <v>10</v>
      </c>
      <c r="N185" s="1" t="s">
        <v>217</v>
      </c>
      <c r="P185" s="1" t="s">
        <v>32</v>
      </c>
      <c r="S185" s="1">
        <f t="shared" si="5"/>
        <v>191.9</v>
      </c>
      <c r="T185" s="2">
        <v>60.3</v>
      </c>
    </row>
    <row r="186" spans="1:20" ht="15.75" customHeight="1" x14ac:dyDescent="0.2">
      <c r="A186" s="6">
        <v>186</v>
      </c>
      <c r="C186" s="1">
        <v>35</v>
      </c>
      <c r="D186" s="1">
        <v>1.5</v>
      </c>
      <c r="E186" s="1">
        <v>7</v>
      </c>
      <c r="F186" s="1" t="s">
        <v>54</v>
      </c>
      <c r="G186" s="1" t="s">
        <v>274</v>
      </c>
      <c r="H186" s="1" t="s">
        <v>37</v>
      </c>
      <c r="J186" s="9">
        <f t="shared" si="6"/>
        <v>299.8</v>
      </c>
      <c r="K186" s="1">
        <v>1300</v>
      </c>
      <c r="L186" s="1" t="s">
        <v>10</v>
      </c>
      <c r="N186" s="14" t="s">
        <v>286</v>
      </c>
      <c r="P186" s="1" t="s">
        <v>234</v>
      </c>
      <c r="Q186" s="1" t="s">
        <v>367</v>
      </c>
      <c r="S186" s="1">
        <f t="shared" si="5"/>
        <v>299.8</v>
      </c>
      <c r="T186" s="2">
        <v>94.2</v>
      </c>
    </row>
    <row r="187" spans="1:20" ht="15.75" customHeight="1" x14ac:dyDescent="0.2">
      <c r="A187" s="6">
        <v>187</v>
      </c>
      <c r="C187" s="1">
        <v>35</v>
      </c>
      <c r="D187" s="1">
        <v>2</v>
      </c>
      <c r="E187" s="1">
        <v>4</v>
      </c>
      <c r="F187" s="1" t="s">
        <v>20</v>
      </c>
      <c r="G187" s="1" t="s">
        <v>405</v>
      </c>
      <c r="H187" s="1" t="s">
        <v>47</v>
      </c>
      <c r="J187" s="9">
        <f t="shared" si="6"/>
        <v>269</v>
      </c>
      <c r="K187" s="1">
        <v>1300</v>
      </c>
      <c r="L187" s="1" t="s">
        <v>10</v>
      </c>
      <c r="S187" s="1">
        <f t="shared" si="5"/>
        <v>269</v>
      </c>
      <c r="T187" s="2">
        <v>84.5</v>
      </c>
    </row>
    <row r="188" spans="1:20" ht="15.75" customHeight="1" x14ac:dyDescent="0.2">
      <c r="A188" s="6">
        <v>188</v>
      </c>
      <c r="C188" s="1">
        <v>35</v>
      </c>
      <c r="D188" s="1">
        <v>9.5</v>
      </c>
      <c r="E188" s="1">
        <v>3</v>
      </c>
      <c r="F188" s="1" t="s">
        <v>86</v>
      </c>
      <c r="G188" s="1" t="s">
        <v>197</v>
      </c>
      <c r="H188" s="1" t="s">
        <v>250</v>
      </c>
      <c r="J188" s="9">
        <f t="shared" si="6"/>
        <v>271.2</v>
      </c>
      <c r="K188" s="1">
        <v>1300</v>
      </c>
      <c r="L188" s="1" t="s">
        <v>10</v>
      </c>
      <c r="N188" s="14" t="s">
        <v>297</v>
      </c>
      <c r="P188" s="1" t="s">
        <v>32</v>
      </c>
      <c r="S188" s="1">
        <f t="shared" si="5"/>
        <v>271.2</v>
      </c>
      <c r="T188" s="2">
        <v>85.2</v>
      </c>
    </row>
    <row r="189" spans="1:20" ht="15.75" customHeight="1" x14ac:dyDescent="0.2">
      <c r="A189" s="6">
        <v>189</v>
      </c>
      <c r="C189" s="1">
        <v>36</v>
      </c>
      <c r="D189" s="1">
        <v>2</v>
      </c>
      <c r="E189" s="1">
        <v>9</v>
      </c>
      <c r="F189" s="1" t="s">
        <v>20</v>
      </c>
      <c r="G189" s="1" t="s">
        <v>101</v>
      </c>
      <c r="H189" s="1" t="s">
        <v>244</v>
      </c>
      <c r="J189" s="9">
        <f t="shared" si="6"/>
        <v>134.30000000000001</v>
      </c>
      <c r="K189" s="1">
        <v>1300</v>
      </c>
      <c r="L189" s="1" t="s">
        <v>55</v>
      </c>
      <c r="S189" s="1">
        <f t="shared" si="5"/>
        <v>134.30000000000001</v>
      </c>
      <c r="T189" s="2">
        <v>42.2</v>
      </c>
    </row>
    <row r="190" spans="1:20" ht="15.75" customHeight="1" x14ac:dyDescent="0.2">
      <c r="A190" s="6">
        <v>190</v>
      </c>
      <c r="C190" s="1">
        <v>36</v>
      </c>
      <c r="D190" s="1">
        <v>8</v>
      </c>
      <c r="E190" s="1">
        <v>8.5</v>
      </c>
      <c r="F190" s="1" t="s">
        <v>12</v>
      </c>
      <c r="G190" s="1" t="s">
        <v>183</v>
      </c>
      <c r="H190" s="1" t="s">
        <v>380</v>
      </c>
      <c r="J190" s="9">
        <f t="shared" si="6"/>
        <v>121</v>
      </c>
      <c r="K190" s="1">
        <v>1300</v>
      </c>
      <c r="L190" s="1" t="s">
        <v>10</v>
      </c>
      <c r="N190" s="1" t="s">
        <v>219</v>
      </c>
      <c r="P190" s="1" t="s">
        <v>234</v>
      </c>
      <c r="Q190" s="1" t="s">
        <v>42</v>
      </c>
      <c r="R190" s="1" t="s">
        <v>13</v>
      </c>
      <c r="S190" s="1">
        <f t="shared" si="5"/>
        <v>121</v>
      </c>
      <c r="T190" s="2">
        <v>38</v>
      </c>
    </row>
    <row r="191" spans="1:20" ht="15.75" customHeight="1" x14ac:dyDescent="0.2">
      <c r="A191" s="6">
        <v>191</v>
      </c>
      <c r="C191" s="1">
        <v>36</v>
      </c>
      <c r="D191" s="1">
        <v>7.5</v>
      </c>
      <c r="E191" s="1">
        <v>5</v>
      </c>
      <c r="F191" s="1" t="s">
        <v>86</v>
      </c>
      <c r="G191" s="1" t="s">
        <v>197</v>
      </c>
      <c r="H191" s="1" t="s">
        <v>250</v>
      </c>
      <c r="J191" s="9">
        <f t="shared" si="6"/>
        <v>221.20000000000002</v>
      </c>
      <c r="K191" s="1">
        <v>1300</v>
      </c>
      <c r="L191" s="1" t="s">
        <v>10</v>
      </c>
      <c r="N191" s="1" t="s">
        <v>218</v>
      </c>
      <c r="P191" s="1" t="s">
        <v>32</v>
      </c>
      <c r="S191" s="1">
        <f t="shared" si="5"/>
        <v>221.20000000000002</v>
      </c>
      <c r="T191" s="2">
        <v>69.5</v>
      </c>
    </row>
    <row r="192" spans="1:20" ht="15.75" customHeight="1" x14ac:dyDescent="0.2">
      <c r="A192" s="6">
        <v>192</v>
      </c>
      <c r="C192" s="1">
        <v>36</v>
      </c>
      <c r="D192" s="1">
        <v>9</v>
      </c>
      <c r="E192" s="1">
        <v>6</v>
      </c>
      <c r="F192" s="1" t="s">
        <v>39</v>
      </c>
      <c r="G192" s="1" t="s">
        <v>392</v>
      </c>
      <c r="H192" s="1" t="s">
        <v>260</v>
      </c>
      <c r="J192" s="9">
        <f t="shared" si="6"/>
        <v>557</v>
      </c>
      <c r="K192" s="1">
        <v>1300</v>
      </c>
      <c r="L192" s="1" t="s">
        <v>10</v>
      </c>
      <c r="N192" s="14" t="s">
        <v>330</v>
      </c>
      <c r="P192" s="1" t="s">
        <v>32</v>
      </c>
      <c r="S192" s="1">
        <f t="shared" si="5"/>
        <v>557</v>
      </c>
      <c r="T192" s="2">
        <v>175</v>
      </c>
    </row>
    <row r="193" spans="1:20" ht="15.75" customHeight="1" x14ac:dyDescent="0.2">
      <c r="A193" s="6">
        <v>193</v>
      </c>
      <c r="C193" s="1">
        <v>36</v>
      </c>
      <c r="D193" s="1">
        <v>5</v>
      </c>
      <c r="E193" s="1">
        <v>3</v>
      </c>
      <c r="F193" s="1" t="s">
        <v>54</v>
      </c>
      <c r="G193" s="1" t="s">
        <v>16</v>
      </c>
      <c r="H193" s="1" t="s">
        <v>266</v>
      </c>
      <c r="J193" s="9">
        <f t="shared" si="6"/>
        <v>133.69999999999999</v>
      </c>
      <c r="K193" s="1">
        <v>1300</v>
      </c>
      <c r="L193" s="1" t="s">
        <v>10</v>
      </c>
      <c r="N193" s="14" t="s">
        <v>304</v>
      </c>
      <c r="P193" s="1" t="s">
        <v>234</v>
      </c>
      <c r="S193" s="1">
        <f t="shared" si="5"/>
        <v>133.69999999999999</v>
      </c>
      <c r="T193" s="2">
        <v>42</v>
      </c>
    </row>
    <row r="194" spans="1:20" ht="15.75" customHeight="1" x14ac:dyDescent="0.2">
      <c r="A194" s="6">
        <v>194</v>
      </c>
      <c r="C194" s="1">
        <v>36</v>
      </c>
      <c r="D194" s="1">
        <v>3</v>
      </c>
      <c r="E194" s="1">
        <v>2.5</v>
      </c>
      <c r="F194" s="1" t="s">
        <v>12</v>
      </c>
      <c r="G194" s="1" t="s">
        <v>183</v>
      </c>
      <c r="H194" s="1" t="s">
        <v>380</v>
      </c>
      <c r="J194" s="9">
        <f t="shared" si="6"/>
        <v>184.89999999999998</v>
      </c>
      <c r="K194" s="1">
        <v>1300</v>
      </c>
      <c r="L194" s="1" t="s">
        <v>10</v>
      </c>
      <c r="N194" s="1" t="s">
        <v>219</v>
      </c>
      <c r="P194" s="1" t="s">
        <v>32</v>
      </c>
      <c r="Q194" s="1" t="s">
        <v>42</v>
      </c>
      <c r="R194" s="1" t="s">
        <v>13</v>
      </c>
      <c r="S194" s="1">
        <f t="shared" si="5"/>
        <v>184.89999999999998</v>
      </c>
      <c r="T194" s="2">
        <v>58.1</v>
      </c>
    </row>
    <row r="195" spans="1:20" ht="15.75" customHeight="1" x14ac:dyDescent="0.2">
      <c r="A195" s="6">
        <v>195</v>
      </c>
      <c r="C195" s="1">
        <v>37</v>
      </c>
      <c r="D195" s="1">
        <v>8</v>
      </c>
      <c r="E195" s="1">
        <v>8</v>
      </c>
      <c r="F195" s="1" t="s">
        <v>9</v>
      </c>
      <c r="G195" s="1" t="s">
        <v>368</v>
      </c>
      <c r="H195" s="8" t="s">
        <v>384</v>
      </c>
      <c r="J195" s="9">
        <f t="shared" si="6"/>
        <v>132.4</v>
      </c>
      <c r="K195" s="1">
        <v>1300</v>
      </c>
      <c r="L195" s="1" t="s">
        <v>10</v>
      </c>
      <c r="N195" s="1" t="s">
        <v>203</v>
      </c>
      <c r="P195" s="1" t="s">
        <v>234</v>
      </c>
      <c r="S195" s="1">
        <f t="shared" si="5"/>
        <v>132.4</v>
      </c>
      <c r="T195" s="2">
        <v>41.6</v>
      </c>
    </row>
    <row r="196" spans="1:20" ht="15.75" customHeight="1" x14ac:dyDescent="0.2">
      <c r="A196" s="6">
        <v>196</v>
      </c>
      <c r="C196" s="1">
        <v>37</v>
      </c>
      <c r="D196" s="1">
        <v>9</v>
      </c>
      <c r="E196" s="1">
        <v>6</v>
      </c>
      <c r="F196" s="1" t="s">
        <v>86</v>
      </c>
      <c r="G196" s="1" t="s">
        <v>197</v>
      </c>
      <c r="H196" s="1" t="s">
        <v>250</v>
      </c>
      <c r="J196" s="9">
        <f t="shared" si="6"/>
        <v>324</v>
      </c>
      <c r="K196" s="1">
        <v>1300</v>
      </c>
      <c r="L196" s="1" t="s">
        <v>10</v>
      </c>
      <c r="N196" s="1" t="s">
        <v>218</v>
      </c>
      <c r="P196" s="1" t="s">
        <v>234</v>
      </c>
      <c r="S196" s="1">
        <f t="shared" si="5"/>
        <v>324</v>
      </c>
      <c r="T196" s="2">
        <v>101.8</v>
      </c>
    </row>
    <row r="197" spans="1:20" ht="15.75" customHeight="1" x14ac:dyDescent="0.2">
      <c r="A197" s="6">
        <v>197</v>
      </c>
      <c r="C197" s="1">
        <v>37</v>
      </c>
      <c r="D197" s="1">
        <v>9</v>
      </c>
      <c r="E197" s="1">
        <v>5</v>
      </c>
      <c r="F197" s="1" t="s">
        <v>48</v>
      </c>
      <c r="G197" s="1" t="s">
        <v>190</v>
      </c>
      <c r="H197" s="1" t="s">
        <v>249</v>
      </c>
      <c r="J197" s="9">
        <f t="shared" si="6"/>
        <v>376.9</v>
      </c>
      <c r="K197" s="1">
        <v>1300</v>
      </c>
      <c r="L197" s="1" t="s">
        <v>19</v>
      </c>
      <c r="N197" s="1" t="s">
        <v>212</v>
      </c>
      <c r="P197" s="1" t="s">
        <v>234</v>
      </c>
      <c r="Q197" s="1" t="s">
        <v>116</v>
      </c>
      <c r="S197" s="1">
        <f t="shared" si="5"/>
        <v>376.9</v>
      </c>
      <c r="T197" s="2">
        <v>118.4</v>
      </c>
    </row>
    <row r="198" spans="1:20" ht="15.75" customHeight="1" x14ac:dyDescent="0.2">
      <c r="A198" s="6">
        <v>198</v>
      </c>
      <c r="C198" s="1">
        <v>37</v>
      </c>
      <c r="D198" s="1">
        <v>6</v>
      </c>
      <c r="E198" s="1">
        <v>1.5</v>
      </c>
      <c r="F198" s="1" t="s">
        <v>12</v>
      </c>
      <c r="G198" s="1" t="s">
        <v>183</v>
      </c>
      <c r="H198" s="1" t="s">
        <v>380</v>
      </c>
      <c r="J198" s="9">
        <f t="shared" si="6"/>
        <v>163.29999999999998</v>
      </c>
      <c r="K198" s="1">
        <v>1300</v>
      </c>
      <c r="L198" s="1" t="s">
        <v>10</v>
      </c>
      <c r="N198" s="1" t="s">
        <v>219</v>
      </c>
      <c r="P198" s="1" t="s">
        <v>234</v>
      </c>
      <c r="Q198" s="1" t="s">
        <v>42</v>
      </c>
      <c r="R198" s="1" t="s">
        <v>13</v>
      </c>
      <c r="S198" s="1">
        <f t="shared" si="5"/>
        <v>163.29999999999998</v>
      </c>
      <c r="T198" s="2">
        <v>51.3</v>
      </c>
    </row>
    <row r="199" spans="1:20" ht="15.75" customHeight="1" x14ac:dyDescent="0.2">
      <c r="A199" s="6">
        <v>199</v>
      </c>
      <c r="C199" s="1">
        <v>38</v>
      </c>
      <c r="D199" s="1">
        <v>5</v>
      </c>
      <c r="E199" s="1">
        <v>1.5</v>
      </c>
      <c r="F199" s="1" t="s">
        <v>22</v>
      </c>
      <c r="G199" s="1" t="s">
        <v>130</v>
      </c>
      <c r="H199" s="1" t="s">
        <v>62</v>
      </c>
      <c r="J199" s="9">
        <f t="shared" si="6"/>
        <v>145.5</v>
      </c>
      <c r="K199" s="1">
        <v>1300</v>
      </c>
      <c r="L199" s="1" t="s">
        <v>10</v>
      </c>
      <c r="N199" s="14" t="s">
        <v>322</v>
      </c>
      <c r="P199" s="1" t="s">
        <v>234</v>
      </c>
      <c r="Q199" s="1" t="s">
        <v>88</v>
      </c>
      <c r="S199" s="1">
        <f t="shared" ref="S199:S262" si="7">ROUND(T199/PI(), 2) * 10</f>
        <v>145.5</v>
      </c>
      <c r="T199" s="2">
        <v>45.7</v>
      </c>
    </row>
    <row r="200" spans="1:20" ht="15.75" customHeight="1" x14ac:dyDescent="0.2">
      <c r="A200" s="6">
        <v>200</v>
      </c>
      <c r="C200" s="1">
        <v>38</v>
      </c>
      <c r="D200" s="1">
        <v>1</v>
      </c>
      <c r="E200" s="1">
        <v>8</v>
      </c>
      <c r="F200" s="1" t="s">
        <v>198</v>
      </c>
      <c r="G200" s="1" t="s">
        <v>199</v>
      </c>
      <c r="H200" s="1" t="s">
        <v>390</v>
      </c>
      <c r="J200" s="9">
        <f t="shared" si="6"/>
        <v>133.69999999999999</v>
      </c>
      <c r="K200" s="1">
        <v>1300</v>
      </c>
      <c r="L200" s="1" t="s">
        <v>10</v>
      </c>
      <c r="N200" s="1" t="s">
        <v>220</v>
      </c>
      <c r="P200" s="1" t="s">
        <v>32</v>
      </c>
      <c r="S200" s="1">
        <f t="shared" si="7"/>
        <v>133.69999999999999</v>
      </c>
      <c r="T200" s="2">
        <v>42</v>
      </c>
    </row>
    <row r="201" spans="1:20" ht="15.75" customHeight="1" x14ac:dyDescent="0.2">
      <c r="A201" s="6">
        <v>201</v>
      </c>
      <c r="C201" s="1">
        <v>38</v>
      </c>
      <c r="D201" s="1">
        <v>2.5</v>
      </c>
      <c r="E201" s="1">
        <v>3.5</v>
      </c>
      <c r="F201" s="1" t="s">
        <v>86</v>
      </c>
      <c r="G201" s="1" t="s">
        <v>197</v>
      </c>
      <c r="H201" s="1" t="s">
        <v>250</v>
      </c>
      <c r="J201" s="9">
        <f t="shared" si="6"/>
        <v>466.3</v>
      </c>
      <c r="K201" s="1">
        <v>1300</v>
      </c>
      <c r="L201" s="1" t="s">
        <v>10</v>
      </c>
      <c r="N201" s="1" t="s">
        <v>218</v>
      </c>
      <c r="P201" s="1" t="s">
        <v>234</v>
      </c>
      <c r="S201" s="1">
        <f t="shared" si="7"/>
        <v>466.3</v>
      </c>
      <c r="T201" s="2">
        <v>146.5</v>
      </c>
    </row>
    <row r="202" spans="1:20" ht="15.75" customHeight="1" x14ac:dyDescent="0.2">
      <c r="A202" s="6">
        <v>202</v>
      </c>
      <c r="C202" s="1">
        <v>38</v>
      </c>
      <c r="D202" s="1">
        <v>0.5</v>
      </c>
      <c r="E202" s="1">
        <v>1</v>
      </c>
      <c r="F202" s="1" t="s">
        <v>9</v>
      </c>
      <c r="G202" s="1" t="s">
        <v>181</v>
      </c>
      <c r="H202" s="1" t="s">
        <v>258</v>
      </c>
      <c r="J202" s="9">
        <f t="shared" si="6"/>
        <v>170.3</v>
      </c>
      <c r="K202" s="1">
        <v>1300</v>
      </c>
      <c r="L202" s="1" t="s">
        <v>10</v>
      </c>
      <c r="N202" s="1" t="s">
        <v>221</v>
      </c>
      <c r="P202" s="1" t="s">
        <v>32</v>
      </c>
      <c r="Q202" s="1" t="s">
        <v>11</v>
      </c>
      <c r="R202" s="1" t="s">
        <v>117</v>
      </c>
      <c r="S202" s="1">
        <f t="shared" si="7"/>
        <v>170.3</v>
      </c>
      <c r="T202" s="2">
        <v>53.5</v>
      </c>
    </row>
    <row r="203" spans="1:20" ht="15.75" customHeight="1" x14ac:dyDescent="0.2">
      <c r="A203" s="6">
        <v>203</v>
      </c>
      <c r="C203" s="1">
        <v>39</v>
      </c>
      <c r="D203" s="1">
        <v>3.5</v>
      </c>
      <c r="E203" s="1">
        <v>9.9</v>
      </c>
      <c r="F203" s="1" t="s">
        <v>12</v>
      </c>
      <c r="G203" s="1" t="s">
        <v>183</v>
      </c>
      <c r="H203" s="1" t="s">
        <v>380</v>
      </c>
      <c r="J203" s="9">
        <f t="shared" si="6"/>
        <v>124.1</v>
      </c>
      <c r="K203" s="1">
        <v>1300</v>
      </c>
      <c r="L203" s="1" t="s">
        <v>10</v>
      </c>
      <c r="N203" s="1" t="s">
        <v>219</v>
      </c>
      <c r="P203" s="1" t="s">
        <v>234</v>
      </c>
      <c r="Q203" s="1" t="s">
        <v>42</v>
      </c>
      <c r="R203" s="1" t="s">
        <v>13</v>
      </c>
      <c r="S203" s="1">
        <f t="shared" si="7"/>
        <v>124.1</v>
      </c>
      <c r="T203" s="2">
        <v>39</v>
      </c>
    </row>
    <row r="204" spans="1:20" ht="15.75" customHeight="1" x14ac:dyDescent="0.2">
      <c r="A204" s="6">
        <v>204</v>
      </c>
      <c r="C204" s="1">
        <v>39</v>
      </c>
      <c r="D204" s="1">
        <v>5</v>
      </c>
      <c r="E204" s="1">
        <v>4</v>
      </c>
      <c r="F204" s="1" t="s">
        <v>86</v>
      </c>
      <c r="G204" s="1" t="s">
        <v>197</v>
      </c>
      <c r="H204" s="1" t="s">
        <v>250</v>
      </c>
      <c r="J204" s="9">
        <f t="shared" ref="J204:J267" si="8">S204</f>
        <v>795.8</v>
      </c>
      <c r="K204" s="1">
        <v>1300</v>
      </c>
      <c r="L204" s="1" t="s">
        <v>28</v>
      </c>
      <c r="N204" s="1" t="s">
        <v>222</v>
      </c>
      <c r="P204" s="1" t="s">
        <v>32</v>
      </c>
      <c r="Q204" s="1" t="s">
        <v>119</v>
      </c>
      <c r="S204" s="1">
        <f t="shared" si="7"/>
        <v>795.8</v>
      </c>
      <c r="T204" s="2">
        <v>250</v>
      </c>
    </row>
    <row r="205" spans="1:20" ht="15.75" customHeight="1" x14ac:dyDescent="0.2">
      <c r="A205" s="6">
        <v>205</v>
      </c>
      <c r="C205" s="1">
        <v>40</v>
      </c>
      <c r="D205" s="1">
        <v>2.5</v>
      </c>
      <c r="E205" s="1">
        <v>4</v>
      </c>
      <c r="F205" s="1" t="s">
        <v>12</v>
      </c>
      <c r="G205" s="1" t="s">
        <v>183</v>
      </c>
      <c r="H205" s="1" t="s">
        <v>380</v>
      </c>
      <c r="J205" s="9">
        <f t="shared" si="8"/>
        <v>189.1</v>
      </c>
      <c r="K205" s="1">
        <v>1300</v>
      </c>
      <c r="L205" s="1" t="s">
        <v>10</v>
      </c>
      <c r="N205" s="1" t="s">
        <v>219</v>
      </c>
      <c r="P205" s="1" t="s">
        <v>234</v>
      </c>
      <c r="Q205" s="1" t="s">
        <v>42</v>
      </c>
      <c r="R205" s="1" t="s">
        <v>13</v>
      </c>
      <c r="S205" s="1">
        <f t="shared" si="7"/>
        <v>189.1</v>
      </c>
      <c r="T205" s="2">
        <v>59.4</v>
      </c>
    </row>
    <row r="206" spans="1:20" ht="15.75" customHeight="1" x14ac:dyDescent="0.2">
      <c r="A206" s="6">
        <v>206</v>
      </c>
      <c r="C206" s="1">
        <v>40</v>
      </c>
      <c r="D206" s="1">
        <v>3</v>
      </c>
      <c r="E206" s="1">
        <v>2.5</v>
      </c>
      <c r="F206" s="1" t="s">
        <v>65</v>
      </c>
      <c r="G206" s="1" t="s">
        <v>182</v>
      </c>
      <c r="H206" s="1" t="s">
        <v>66</v>
      </c>
      <c r="J206" s="9">
        <f t="shared" si="8"/>
        <v>287.10000000000002</v>
      </c>
      <c r="K206" s="1">
        <v>1300</v>
      </c>
      <c r="L206" s="1" t="s">
        <v>5</v>
      </c>
      <c r="N206" s="1" t="s">
        <v>223</v>
      </c>
      <c r="P206" s="1" t="s">
        <v>32</v>
      </c>
      <c r="Q206" s="1" t="s">
        <v>118</v>
      </c>
      <c r="S206" s="1">
        <f t="shared" si="7"/>
        <v>287.10000000000002</v>
      </c>
      <c r="T206" s="2">
        <v>90.2</v>
      </c>
    </row>
    <row r="207" spans="1:20" ht="15.75" customHeight="1" x14ac:dyDescent="0.2">
      <c r="A207" s="6">
        <v>207</v>
      </c>
      <c r="C207" s="1">
        <v>40</v>
      </c>
      <c r="D207" s="1">
        <v>8</v>
      </c>
      <c r="E207" s="1">
        <v>0.1</v>
      </c>
      <c r="F207" s="1" t="s">
        <v>12</v>
      </c>
      <c r="G207" s="1" t="s">
        <v>183</v>
      </c>
      <c r="H207" s="1" t="s">
        <v>380</v>
      </c>
      <c r="J207" s="9">
        <f t="shared" si="8"/>
        <v>129.19999999999999</v>
      </c>
      <c r="K207" s="1">
        <v>1300</v>
      </c>
      <c r="L207" s="1" t="s">
        <v>10</v>
      </c>
      <c r="N207" s="1" t="s">
        <v>219</v>
      </c>
      <c r="P207" s="1" t="s">
        <v>234</v>
      </c>
      <c r="Q207" s="1" t="s">
        <v>42</v>
      </c>
      <c r="R207" s="1" t="s">
        <v>13</v>
      </c>
      <c r="S207" s="1">
        <f t="shared" si="7"/>
        <v>129.19999999999999</v>
      </c>
      <c r="T207" s="2">
        <v>40.6</v>
      </c>
    </row>
    <row r="208" spans="1:20" ht="15.75" customHeight="1" x14ac:dyDescent="0.2">
      <c r="A208" s="6">
        <v>208</v>
      </c>
      <c r="C208" s="1">
        <v>41</v>
      </c>
      <c r="D208" s="1">
        <v>8.5</v>
      </c>
      <c r="E208" s="1">
        <v>1.5</v>
      </c>
      <c r="F208" s="1" t="s">
        <v>76</v>
      </c>
      <c r="G208" s="1" t="s">
        <v>178</v>
      </c>
      <c r="H208" s="1" t="s">
        <v>253</v>
      </c>
      <c r="J208" s="9">
        <f t="shared" si="8"/>
        <v>161.70000000000002</v>
      </c>
      <c r="K208" s="1">
        <v>1300</v>
      </c>
      <c r="L208" s="1" t="s">
        <v>10</v>
      </c>
      <c r="N208" s="14" t="s">
        <v>303</v>
      </c>
      <c r="P208" s="1" t="s">
        <v>234</v>
      </c>
      <c r="S208" s="1">
        <f t="shared" si="7"/>
        <v>161.70000000000002</v>
      </c>
      <c r="T208" s="2">
        <v>50.8</v>
      </c>
    </row>
    <row r="209" spans="1:20" ht="15.75" customHeight="1" x14ac:dyDescent="0.2">
      <c r="A209" s="6">
        <v>209</v>
      </c>
      <c r="C209" s="1">
        <v>41</v>
      </c>
      <c r="D209" s="1">
        <v>5.5</v>
      </c>
      <c r="E209" s="1">
        <v>3.5</v>
      </c>
      <c r="F209" s="1" t="s">
        <v>12</v>
      </c>
      <c r="G209" s="1" t="s">
        <v>183</v>
      </c>
      <c r="H209" s="1" t="s">
        <v>380</v>
      </c>
      <c r="J209" s="9">
        <f t="shared" si="8"/>
        <v>130.80000000000001</v>
      </c>
      <c r="K209" s="1">
        <v>1300</v>
      </c>
      <c r="L209" s="1" t="s">
        <v>10</v>
      </c>
      <c r="N209" s="1" t="s">
        <v>219</v>
      </c>
      <c r="P209" s="1" t="s">
        <v>234</v>
      </c>
      <c r="Q209" s="1" t="s">
        <v>42</v>
      </c>
      <c r="R209" s="1" t="s">
        <v>13</v>
      </c>
      <c r="S209" s="1">
        <f t="shared" si="7"/>
        <v>130.80000000000001</v>
      </c>
      <c r="T209" s="2">
        <v>41.1</v>
      </c>
    </row>
    <row r="210" spans="1:20" ht="15.75" customHeight="1" x14ac:dyDescent="0.2">
      <c r="A210" s="6">
        <v>210</v>
      </c>
      <c r="C210" s="1">
        <v>41</v>
      </c>
      <c r="D210" s="1">
        <v>5</v>
      </c>
      <c r="E210" s="1">
        <v>4</v>
      </c>
      <c r="F210" s="1" t="s">
        <v>86</v>
      </c>
      <c r="G210" s="1" t="s">
        <v>197</v>
      </c>
      <c r="H210" s="1" t="s">
        <v>250</v>
      </c>
      <c r="J210" s="9">
        <f t="shared" si="8"/>
        <v>474.3</v>
      </c>
      <c r="K210" s="1">
        <v>1300</v>
      </c>
      <c r="L210" s="1" t="s">
        <v>10</v>
      </c>
      <c r="N210" s="1" t="s">
        <v>218</v>
      </c>
      <c r="P210" s="1" t="s">
        <v>234</v>
      </c>
      <c r="S210" s="1">
        <f t="shared" si="7"/>
        <v>474.3</v>
      </c>
      <c r="T210" s="2">
        <v>149</v>
      </c>
    </row>
    <row r="211" spans="1:20" ht="15.75" customHeight="1" x14ac:dyDescent="0.2">
      <c r="A211" s="6">
        <v>211</v>
      </c>
      <c r="C211" s="1">
        <v>41</v>
      </c>
      <c r="D211" s="1">
        <v>3</v>
      </c>
      <c r="E211" s="1">
        <v>6</v>
      </c>
      <c r="F211" s="1" t="s">
        <v>198</v>
      </c>
      <c r="G211" s="1" t="s">
        <v>199</v>
      </c>
      <c r="H211" s="1" t="s">
        <v>390</v>
      </c>
      <c r="J211" s="9">
        <f t="shared" si="8"/>
        <v>795.8</v>
      </c>
      <c r="K211" s="1">
        <v>1300</v>
      </c>
      <c r="L211" s="1" t="s">
        <v>71</v>
      </c>
      <c r="N211" s="1" t="s">
        <v>220</v>
      </c>
      <c r="P211" s="1" t="s">
        <v>234</v>
      </c>
      <c r="Q211" s="1" t="s">
        <v>119</v>
      </c>
      <c r="S211" s="1">
        <f t="shared" si="7"/>
        <v>795.8</v>
      </c>
      <c r="T211" s="2">
        <v>250</v>
      </c>
    </row>
    <row r="212" spans="1:20" ht="15.75" customHeight="1" x14ac:dyDescent="0.2">
      <c r="A212" s="6">
        <v>212</v>
      </c>
      <c r="C212" s="1">
        <v>41</v>
      </c>
      <c r="D212" s="1">
        <v>3</v>
      </c>
      <c r="E212" s="1">
        <v>9.8000000000000007</v>
      </c>
      <c r="F212" s="1" t="s">
        <v>22</v>
      </c>
      <c r="G212" s="1" t="s">
        <v>193</v>
      </c>
      <c r="H212" s="1" t="s">
        <v>261</v>
      </c>
      <c r="J212" s="9">
        <f t="shared" si="8"/>
        <v>119</v>
      </c>
      <c r="K212" s="1">
        <v>1300</v>
      </c>
      <c r="L212" s="1" t="s">
        <v>10</v>
      </c>
      <c r="N212" s="1" t="s">
        <v>224</v>
      </c>
      <c r="P212" s="1" t="s">
        <v>32</v>
      </c>
      <c r="Q212" s="1" t="s">
        <v>26</v>
      </c>
      <c r="S212" s="1">
        <f t="shared" si="7"/>
        <v>119</v>
      </c>
      <c r="T212" s="2">
        <v>37.4</v>
      </c>
    </row>
    <row r="213" spans="1:20" ht="15.75" customHeight="1" x14ac:dyDescent="0.2">
      <c r="A213" s="6">
        <v>213</v>
      </c>
      <c r="C213" s="1">
        <v>42</v>
      </c>
      <c r="D213" s="1">
        <v>0.1</v>
      </c>
      <c r="E213" s="1">
        <v>7</v>
      </c>
      <c r="F213" s="1" t="s">
        <v>12</v>
      </c>
      <c r="G213" s="1" t="s">
        <v>183</v>
      </c>
      <c r="H213" s="1" t="s">
        <v>380</v>
      </c>
      <c r="J213" s="9">
        <f t="shared" si="8"/>
        <v>141</v>
      </c>
      <c r="K213" s="1">
        <v>1300</v>
      </c>
      <c r="L213" s="1" t="s">
        <v>10</v>
      </c>
      <c r="N213" s="1" t="s">
        <v>219</v>
      </c>
      <c r="P213" s="1" t="s">
        <v>234</v>
      </c>
      <c r="Q213" s="1" t="s">
        <v>42</v>
      </c>
      <c r="R213" s="1" t="s">
        <v>13</v>
      </c>
      <c r="S213" s="1">
        <f t="shared" si="7"/>
        <v>141</v>
      </c>
      <c r="T213" s="2">
        <v>44.3</v>
      </c>
    </row>
    <row r="214" spans="1:20" ht="15.75" customHeight="1" x14ac:dyDescent="0.2">
      <c r="A214" s="6">
        <v>214</v>
      </c>
      <c r="C214" s="1">
        <v>42</v>
      </c>
      <c r="D214" s="1">
        <v>2</v>
      </c>
      <c r="E214" s="1">
        <v>6</v>
      </c>
      <c r="F214" s="1" t="s">
        <v>83</v>
      </c>
      <c r="G214" s="1" t="s">
        <v>84</v>
      </c>
      <c r="H214" s="1" t="s">
        <v>247</v>
      </c>
      <c r="I214" s="1" t="s">
        <v>85</v>
      </c>
      <c r="J214" s="9">
        <f t="shared" si="8"/>
        <v>194.8</v>
      </c>
      <c r="K214" s="1">
        <v>1300</v>
      </c>
      <c r="L214" s="1" t="s">
        <v>10</v>
      </c>
      <c r="N214" s="1" t="s">
        <v>225</v>
      </c>
      <c r="P214" s="1" t="s">
        <v>32</v>
      </c>
      <c r="Q214" s="1" t="s">
        <v>26</v>
      </c>
      <c r="S214" s="1">
        <f t="shared" si="7"/>
        <v>194.8</v>
      </c>
      <c r="T214" s="2">
        <v>61.2</v>
      </c>
    </row>
    <row r="215" spans="1:20" ht="15.75" customHeight="1" x14ac:dyDescent="0.2">
      <c r="A215" s="6">
        <v>215</v>
      </c>
      <c r="C215" s="1">
        <v>42</v>
      </c>
      <c r="D215" s="1">
        <v>7.5</v>
      </c>
      <c r="E215" s="1">
        <v>6</v>
      </c>
      <c r="F215" s="1" t="s">
        <v>22</v>
      </c>
      <c r="G215" s="1" t="s">
        <v>195</v>
      </c>
      <c r="H215" s="1" t="s">
        <v>30</v>
      </c>
      <c r="J215" s="9">
        <f t="shared" si="8"/>
        <v>157.20000000000002</v>
      </c>
      <c r="K215" s="1">
        <v>1300</v>
      </c>
      <c r="L215" s="1" t="s">
        <v>10</v>
      </c>
      <c r="N215" s="1" t="s">
        <v>202</v>
      </c>
      <c r="P215" s="1" t="s">
        <v>234</v>
      </c>
      <c r="Q215" s="1" t="s">
        <v>26</v>
      </c>
      <c r="S215" s="1">
        <f t="shared" si="7"/>
        <v>157.20000000000002</v>
      </c>
      <c r="T215" s="2">
        <v>49.4</v>
      </c>
    </row>
    <row r="216" spans="1:20" ht="15.75" customHeight="1" x14ac:dyDescent="0.2">
      <c r="A216" s="6">
        <v>216</v>
      </c>
      <c r="C216" s="1">
        <v>42</v>
      </c>
      <c r="D216" s="1">
        <v>5.5</v>
      </c>
      <c r="E216" s="1">
        <v>8</v>
      </c>
      <c r="F216" s="1" t="s">
        <v>12</v>
      </c>
      <c r="G216" s="1" t="s">
        <v>183</v>
      </c>
      <c r="H216" s="1" t="s">
        <v>380</v>
      </c>
      <c r="J216" s="9">
        <f t="shared" si="8"/>
        <v>121</v>
      </c>
      <c r="K216" s="1">
        <v>1300</v>
      </c>
      <c r="L216" s="1" t="s">
        <v>10</v>
      </c>
      <c r="Q216" s="1" t="s">
        <v>35</v>
      </c>
      <c r="S216" s="1">
        <f t="shared" si="7"/>
        <v>121</v>
      </c>
      <c r="T216" s="2">
        <v>38</v>
      </c>
    </row>
    <row r="217" spans="1:20" ht="15.75" customHeight="1" x14ac:dyDescent="0.2">
      <c r="A217" s="6">
        <v>217</v>
      </c>
      <c r="C217" s="1">
        <v>43</v>
      </c>
      <c r="D217" s="1">
        <v>4</v>
      </c>
      <c r="E217" s="1">
        <v>0.2</v>
      </c>
      <c r="F217" s="1" t="s">
        <v>48</v>
      </c>
      <c r="G217" s="1" t="s">
        <v>190</v>
      </c>
      <c r="H217" s="1" t="s">
        <v>249</v>
      </c>
      <c r="J217" s="9">
        <f t="shared" si="8"/>
        <v>148</v>
      </c>
      <c r="K217" s="1">
        <v>1300</v>
      </c>
      <c r="L217" s="1" t="s">
        <v>10</v>
      </c>
      <c r="N217" s="1" t="s">
        <v>212</v>
      </c>
      <c r="P217" s="1" t="s">
        <v>234</v>
      </c>
      <c r="Q217" s="1" t="s">
        <v>88</v>
      </c>
      <c r="S217" s="1">
        <f t="shared" si="7"/>
        <v>148</v>
      </c>
      <c r="T217" s="2">
        <v>46.5</v>
      </c>
    </row>
    <row r="218" spans="1:20" ht="15.75" customHeight="1" x14ac:dyDescent="0.2">
      <c r="A218" s="6">
        <v>218</v>
      </c>
      <c r="C218" s="1">
        <v>43</v>
      </c>
      <c r="D218" s="1">
        <v>6</v>
      </c>
      <c r="E218" s="1">
        <v>1.5</v>
      </c>
      <c r="F218" s="1" t="s">
        <v>22</v>
      </c>
      <c r="G218" s="1" t="s">
        <v>195</v>
      </c>
      <c r="H218" s="1" t="s">
        <v>30</v>
      </c>
      <c r="J218" s="9">
        <f t="shared" si="8"/>
        <v>127.6</v>
      </c>
      <c r="K218" s="1">
        <v>1300</v>
      </c>
      <c r="L218" s="1" t="s">
        <v>10</v>
      </c>
      <c r="N218" s="1" t="s">
        <v>202</v>
      </c>
      <c r="P218" s="1" t="s">
        <v>234</v>
      </c>
      <c r="Q218" s="1" t="s">
        <v>88</v>
      </c>
      <c r="S218" s="1">
        <f t="shared" si="7"/>
        <v>127.6</v>
      </c>
      <c r="T218" s="2">
        <v>40.1</v>
      </c>
    </row>
    <row r="219" spans="1:20" ht="15.75" customHeight="1" x14ac:dyDescent="0.2">
      <c r="A219" s="6">
        <v>219</v>
      </c>
      <c r="C219" s="1">
        <v>43</v>
      </c>
      <c r="D219" s="1">
        <v>5</v>
      </c>
      <c r="E219" s="1">
        <v>4</v>
      </c>
      <c r="F219" s="1" t="s">
        <v>12</v>
      </c>
      <c r="G219" s="1" t="s">
        <v>183</v>
      </c>
      <c r="H219" s="1" t="s">
        <v>380</v>
      </c>
      <c r="J219" s="9">
        <f t="shared" si="8"/>
        <v>110.8</v>
      </c>
      <c r="K219" s="1">
        <v>1300</v>
      </c>
      <c r="L219" s="1" t="s">
        <v>10</v>
      </c>
      <c r="N219" s="1" t="s">
        <v>219</v>
      </c>
      <c r="P219" s="1" t="s">
        <v>234</v>
      </c>
      <c r="Q219" s="1" t="s">
        <v>42</v>
      </c>
      <c r="R219" s="1" t="s">
        <v>13</v>
      </c>
      <c r="S219" s="1">
        <f t="shared" si="7"/>
        <v>110.8</v>
      </c>
      <c r="T219" s="1">
        <v>34.799999999999997</v>
      </c>
    </row>
    <row r="220" spans="1:20" ht="15.75" customHeight="1" x14ac:dyDescent="0.2">
      <c r="A220" s="6">
        <v>220</v>
      </c>
      <c r="C220" s="1">
        <v>43</v>
      </c>
      <c r="D220" s="1">
        <v>2</v>
      </c>
      <c r="E220" s="1">
        <v>4.5</v>
      </c>
      <c r="F220" s="1" t="s">
        <v>186</v>
      </c>
      <c r="G220" s="1" t="s">
        <v>200</v>
      </c>
      <c r="H220" s="1" t="s">
        <v>255</v>
      </c>
      <c r="J220" s="9">
        <f t="shared" si="8"/>
        <v>246.70000000000002</v>
      </c>
      <c r="K220" s="1">
        <v>1300</v>
      </c>
      <c r="L220" s="1" t="s">
        <v>10</v>
      </c>
      <c r="N220" s="1" t="s">
        <v>228</v>
      </c>
      <c r="P220" s="1" t="s">
        <v>234</v>
      </c>
      <c r="S220" s="1">
        <f t="shared" si="7"/>
        <v>246.70000000000002</v>
      </c>
      <c r="T220" s="2">
        <v>77.5</v>
      </c>
    </row>
    <row r="221" spans="1:20" ht="15.75" customHeight="1" x14ac:dyDescent="0.2">
      <c r="A221" s="6">
        <v>221</v>
      </c>
      <c r="C221" s="1">
        <v>43</v>
      </c>
      <c r="D221" s="1">
        <v>1.5</v>
      </c>
      <c r="E221" s="1">
        <v>4.5</v>
      </c>
      <c r="F221" s="1" t="s">
        <v>59</v>
      </c>
      <c r="G221" s="1" t="s">
        <v>60</v>
      </c>
      <c r="H221" s="1" t="s">
        <v>255</v>
      </c>
      <c r="J221" s="9">
        <f t="shared" si="8"/>
        <v>232.39999999999998</v>
      </c>
      <c r="K221" s="1">
        <v>1300</v>
      </c>
      <c r="L221" s="1" t="s">
        <v>10</v>
      </c>
      <c r="N221" s="1" t="s">
        <v>226</v>
      </c>
      <c r="P221" s="1" t="s">
        <v>32</v>
      </c>
      <c r="S221" s="1">
        <f t="shared" si="7"/>
        <v>232.39999999999998</v>
      </c>
      <c r="T221" s="2">
        <v>73</v>
      </c>
    </row>
    <row r="222" spans="1:20" ht="15.75" customHeight="1" x14ac:dyDescent="0.2">
      <c r="A222" s="6">
        <v>222</v>
      </c>
      <c r="C222" s="1">
        <v>44</v>
      </c>
      <c r="D222" s="1">
        <v>3</v>
      </c>
      <c r="E222" s="1">
        <v>1.2</v>
      </c>
      <c r="F222" s="1" t="s">
        <v>86</v>
      </c>
      <c r="G222" s="1" t="s">
        <v>194</v>
      </c>
      <c r="H222" s="1" t="s">
        <v>382</v>
      </c>
      <c r="J222" s="9">
        <f t="shared" si="8"/>
        <v>310</v>
      </c>
      <c r="K222" s="1">
        <v>1300</v>
      </c>
      <c r="L222" s="1" t="s">
        <v>120</v>
      </c>
      <c r="N222" s="1" t="s">
        <v>227</v>
      </c>
      <c r="P222" s="1" t="s">
        <v>32</v>
      </c>
      <c r="Q222" s="1" t="s">
        <v>88</v>
      </c>
      <c r="S222" s="1">
        <f t="shared" si="7"/>
        <v>310</v>
      </c>
      <c r="T222" s="2">
        <v>97.4</v>
      </c>
    </row>
    <row r="223" spans="1:20" ht="15.75" customHeight="1" x14ac:dyDescent="0.2">
      <c r="A223" s="6">
        <v>223</v>
      </c>
      <c r="C223" s="1">
        <v>44</v>
      </c>
      <c r="D223" s="1">
        <v>4</v>
      </c>
      <c r="E223" s="1">
        <v>3.5</v>
      </c>
      <c r="F223" s="1" t="s">
        <v>12</v>
      </c>
      <c r="G223" s="1" t="s">
        <v>183</v>
      </c>
      <c r="H223" s="1" t="s">
        <v>380</v>
      </c>
      <c r="J223" s="9">
        <f t="shared" si="8"/>
        <v>150.6</v>
      </c>
      <c r="K223" s="1">
        <v>1300</v>
      </c>
      <c r="L223" s="1" t="s">
        <v>10</v>
      </c>
      <c r="N223" s="1" t="s">
        <v>219</v>
      </c>
      <c r="P223" s="1" t="s">
        <v>234</v>
      </c>
      <c r="Q223" s="1" t="s">
        <v>42</v>
      </c>
      <c r="R223" s="1" t="s">
        <v>13</v>
      </c>
      <c r="S223" s="1">
        <f t="shared" si="7"/>
        <v>150.6</v>
      </c>
      <c r="T223" s="1">
        <v>47.3</v>
      </c>
    </row>
    <row r="224" spans="1:20" ht="15.75" customHeight="1" x14ac:dyDescent="0.2">
      <c r="A224" s="6">
        <v>224</v>
      </c>
      <c r="C224" s="1">
        <v>44</v>
      </c>
      <c r="D224" s="1">
        <v>8.1999999999999993</v>
      </c>
      <c r="E224" s="1">
        <v>1.5</v>
      </c>
      <c r="F224" s="1" t="s">
        <v>12</v>
      </c>
      <c r="G224" s="1" t="s">
        <v>183</v>
      </c>
      <c r="H224" s="1" t="s">
        <v>380</v>
      </c>
      <c r="J224" s="9">
        <f t="shared" si="8"/>
        <v>165.79999999999998</v>
      </c>
      <c r="K224" s="1">
        <v>1300</v>
      </c>
      <c r="L224" s="1" t="s">
        <v>10</v>
      </c>
      <c r="N224" s="1" t="s">
        <v>219</v>
      </c>
      <c r="P224" s="1" t="s">
        <v>234</v>
      </c>
      <c r="Q224" s="1" t="s">
        <v>42</v>
      </c>
      <c r="R224" s="1" t="s">
        <v>13</v>
      </c>
      <c r="S224" s="1">
        <f t="shared" si="7"/>
        <v>165.79999999999998</v>
      </c>
      <c r="T224" s="2">
        <v>52.1</v>
      </c>
    </row>
    <row r="225" spans="1:20" ht="15.75" customHeight="1" x14ac:dyDescent="0.2">
      <c r="A225" s="6">
        <v>225</v>
      </c>
      <c r="C225" s="1">
        <v>44</v>
      </c>
      <c r="D225" s="1">
        <v>1</v>
      </c>
      <c r="E225" s="1">
        <v>8.5</v>
      </c>
      <c r="F225" s="1" t="s">
        <v>83</v>
      </c>
      <c r="G225" s="1" t="s">
        <v>369</v>
      </c>
      <c r="H225" s="1" t="s">
        <v>180</v>
      </c>
      <c r="J225" s="9">
        <f t="shared" si="8"/>
        <v>856.3</v>
      </c>
      <c r="K225" s="1">
        <v>1300</v>
      </c>
      <c r="L225" s="1" t="s">
        <v>10</v>
      </c>
      <c r="N225" s="14" t="s">
        <v>323</v>
      </c>
      <c r="P225" s="1" t="s">
        <v>234</v>
      </c>
      <c r="R225" s="1" t="s">
        <v>121</v>
      </c>
      <c r="S225" s="1">
        <f t="shared" si="7"/>
        <v>856.3</v>
      </c>
      <c r="T225" s="1">
        <v>269</v>
      </c>
    </row>
    <row r="226" spans="1:20" ht="15.75" customHeight="1" x14ac:dyDescent="0.2">
      <c r="A226" s="6">
        <v>226</v>
      </c>
      <c r="C226" s="1">
        <v>45</v>
      </c>
      <c r="D226" s="1">
        <v>5</v>
      </c>
      <c r="E226" s="1">
        <v>1</v>
      </c>
      <c r="F226" s="1" t="s">
        <v>12</v>
      </c>
      <c r="G226" s="1" t="s">
        <v>183</v>
      </c>
      <c r="H226" s="1" t="s">
        <v>380</v>
      </c>
      <c r="J226" s="9">
        <f t="shared" si="8"/>
        <v>128.9</v>
      </c>
      <c r="K226" s="1">
        <v>1300</v>
      </c>
      <c r="L226" s="1" t="s">
        <v>10</v>
      </c>
      <c r="N226" s="1" t="s">
        <v>219</v>
      </c>
      <c r="P226" s="1" t="s">
        <v>234</v>
      </c>
      <c r="Q226" s="1" t="s">
        <v>42</v>
      </c>
      <c r="R226" s="1" t="s">
        <v>13</v>
      </c>
      <c r="S226" s="1">
        <f t="shared" si="7"/>
        <v>128.9</v>
      </c>
      <c r="T226" s="1">
        <v>40.5</v>
      </c>
    </row>
    <row r="227" spans="1:20" ht="15.75" customHeight="1" x14ac:dyDescent="0.2">
      <c r="A227" s="6">
        <v>227</v>
      </c>
      <c r="C227" s="1">
        <v>45</v>
      </c>
      <c r="D227" s="1">
        <v>4</v>
      </c>
      <c r="E227" s="1">
        <v>2</v>
      </c>
      <c r="F227" s="1" t="s">
        <v>12</v>
      </c>
      <c r="G227" s="1" t="s">
        <v>183</v>
      </c>
      <c r="H227" s="1" t="s">
        <v>380</v>
      </c>
      <c r="J227" s="9">
        <f t="shared" si="8"/>
        <v>111.4</v>
      </c>
      <c r="K227" s="1">
        <v>1300</v>
      </c>
      <c r="N227" s="1" t="s">
        <v>219</v>
      </c>
      <c r="P227" s="1" t="s">
        <v>234</v>
      </c>
      <c r="Q227" s="1" t="s">
        <v>42</v>
      </c>
      <c r="R227" s="1" t="s">
        <v>13</v>
      </c>
      <c r="S227" s="1">
        <f t="shared" si="7"/>
        <v>111.4</v>
      </c>
      <c r="T227" s="1">
        <v>35</v>
      </c>
    </row>
    <row r="228" spans="1:20" ht="15.75" customHeight="1" x14ac:dyDescent="0.2">
      <c r="A228" s="6">
        <v>228</v>
      </c>
      <c r="C228" s="1">
        <v>45</v>
      </c>
      <c r="D228" s="1">
        <v>5</v>
      </c>
      <c r="E228" s="1">
        <v>4</v>
      </c>
      <c r="F228" s="1" t="s">
        <v>48</v>
      </c>
      <c r="G228" s="1" t="s">
        <v>374</v>
      </c>
      <c r="H228" s="1" t="s">
        <v>246</v>
      </c>
      <c r="J228" s="9">
        <f t="shared" si="8"/>
        <v>240</v>
      </c>
      <c r="K228" s="1">
        <v>1300</v>
      </c>
      <c r="L228" s="1" t="s">
        <v>10</v>
      </c>
      <c r="N228" s="14" t="s">
        <v>290</v>
      </c>
      <c r="P228" s="1" t="s">
        <v>32</v>
      </c>
      <c r="S228" s="1">
        <f t="shared" si="7"/>
        <v>240</v>
      </c>
      <c r="T228" s="1">
        <v>75.400000000000006</v>
      </c>
    </row>
    <row r="229" spans="1:20" ht="15.75" customHeight="1" x14ac:dyDescent="0.2">
      <c r="A229" s="6">
        <v>229</v>
      </c>
      <c r="C229" s="1">
        <v>45</v>
      </c>
      <c r="D229" s="1">
        <v>8.5</v>
      </c>
      <c r="E229" s="1">
        <v>6.5</v>
      </c>
      <c r="F229" s="1" t="s">
        <v>12</v>
      </c>
      <c r="G229" s="1" t="s">
        <v>183</v>
      </c>
      <c r="H229" s="1" t="s">
        <v>380</v>
      </c>
      <c r="J229" s="9">
        <f t="shared" si="8"/>
        <v>128.9</v>
      </c>
      <c r="K229" s="1">
        <v>1300</v>
      </c>
      <c r="L229" s="1" t="s">
        <v>10</v>
      </c>
      <c r="N229" s="1" t="s">
        <v>219</v>
      </c>
      <c r="P229" s="1" t="s">
        <v>234</v>
      </c>
      <c r="Q229" s="1" t="s">
        <v>42</v>
      </c>
      <c r="R229" s="1" t="s">
        <v>13</v>
      </c>
      <c r="S229" s="1">
        <f t="shared" si="7"/>
        <v>128.9</v>
      </c>
      <c r="T229" s="1">
        <v>40.5</v>
      </c>
    </row>
    <row r="230" spans="1:20" ht="15.75" customHeight="1" x14ac:dyDescent="0.2">
      <c r="A230" s="6">
        <v>230</v>
      </c>
      <c r="C230" s="1">
        <v>46</v>
      </c>
      <c r="D230" s="1">
        <v>6</v>
      </c>
      <c r="E230" s="1">
        <v>5</v>
      </c>
      <c r="F230" s="1" t="s">
        <v>186</v>
      </c>
      <c r="G230" s="1" t="s">
        <v>200</v>
      </c>
      <c r="H230" s="1" t="s">
        <v>255</v>
      </c>
      <c r="J230" s="9">
        <f t="shared" si="8"/>
        <v>163.9</v>
      </c>
      <c r="K230" s="1">
        <v>1300</v>
      </c>
      <c r="L230" s="1" t="s">
        <v>28</v>
      </c>
      <c r="N230" s="1" t="s">
        <v>228</v>
      </c>
      <c r="P230" s="1" t="s">
        <v>32</v>
      </c>
      <c r="S230" s="1">
        <f t="shared" si="7"/>
        <v>163.9</v>
      </c>
      <c r="T230" s="1">
        <v>51.5</v>
      </c>
    </row>
    <row r="231" spans="1:20" ht="15.75" customHeight="1" x14ac:dyDescent="0.2">
      <c r="A231" s="6">
        <v>231</v>
      </c>
      <c r="C231" s="1">
        <v>46</v>
      </c>
      <c r="D231" s="1">
        <v>9</v>
      </c>
      <c r="E231" s="1">
        <v>8</v>
      </c>
      <c r="F231" s="1" t="s">
        <v>86</v>
      </c>
      <c r="G231" s="1" t="s">
        <v>197</v>
      </c>
      <c r="H231" s="1" t="s">
        <v>250</v>
      </c>
      <c r="J231" s="9">
        <f t="shared" si="8"/>
        <v>480.6</v>
      </c>
      <c r="K231" s="1">
        <v>2300</v>
      </c>
      <c r="L231" s="1" t="s">
        <v>10</v>
      </c>
      <c r="N231" s="1" t="s">
        <v>218</v>
      </c>
      <c r="P231" s="1" t="s">
        <v>234</v>
      </c>
      <c r="S231" s="1">
        <f t="shared" si="7"/>
        <v>480.6</v>
      </c>
      <c r="T231" s="1">
        <v>151</v>
      </c>
    </row>
    <row r="232" spans="1:20" ht="15.75" customHeight="1" x14ac:dyDescent="0.2">
      <c r="A232" s="6">
        <v>232</v>
      </c>
      <c r="C232" s="1">
        <v>46</v>
      </c>
      <c r="D232" s="1">
        <v>8.5</v>
      </c>
      <c r="E232" s="1">
        <v>9.8000000000000007</v>
      </c>
      <c r="F232" s="1" t="s">
        <v>12</v>
      </c>
      <c r="G232" s="1" t="s">
        <v>183</v>
      </c>
      <c r="H232" s="1" t="s">
        <v>380</v>
      </c>
      <c r="J232" s="9">
        <f t="shared" si="8"/>
        <v>171.9</v>
      </c>
      <c r="K232" s="1">
        <v>1300</v>
      </c>
      <c r="L232" s="1" t="s">
        <v>10</v>
      </c>
      <c r="N232" s="1" t="s">
        <v>219</v>
      </c>
      <c r="P232" s="1" t="s">
        <v>234</v>
      </c>
      <c r="Q232" s="1" t="s">
        <v>42</v>
      </c>
      <c r="R232" s="1" t="s">
        <v>13</v>
      </c>
      <c r="S232" s="1">
        <f t="shared" si="7"/>
        <v>171.9</v>
      </c>
      <c r="T232" s="1">
        <v>54</v>
      </c>
    </row>
    <row r="233" spans="1:20" ht="15.75" customHeight="1" x14ac:dyDescent="0.2">
      <c r="A233" s="6">
        <v>233</v>
      </c>
      <c r="C233" s="1">
        <v>47</v>
      </c>
      <c r="D233" s="1">
        <v>4.5</v>
      </c>
      <c r="E233" s="1">
        <v>1.5</v>
      </c>
      <c r="F233" s="1" t="s">
        <v>86</v>
      </c>
      <c r="G233" s="1" t="s">
        <v>197</v>
      </c>
      <c r="H233" s="1" t="s">
        <v>250</v>
      </c>
      <c r="J233" s="9">
        <f t="shared" si="8"/>
        <v>392.2</v>
      </c>
      <c r="K233" s="1">
        <v>1300</v>
      </c>
      <c r="L233" s="1" t="s">
        <v>10</v>
      </c>
      <c r="N233" s="1" t="s">
        <v>218</v>
      </c>
      <c r="P233" s="1" t="s">
        <v>234</v>
      </c>
      <c r="S233" s="1">
        <f t="shared" si="7"/>
        <v>392.2</v>
      </c>
      <c r="T233" s="1">
        <v>123.2</v>
      </c>
    </row>
    <row r="234" spans="1:20" ht="15.75" customHeight="1" x14ac:dyDescent="0.2">
      <c r="A234" s="6">
        <v>234</v>
      </c>
      <c r="C234" s="1">
        <v>47</v>
      </c>
      <c r="D234" s="1">
        <v>1</v>
      </c>
      <c r="E234" s="1">
        <v>8</v>
      </c>
      <c r="F234" s="1" t="s">
        <v>86</v>
      </c>
      <c r="G234" s="1" t="s">
        <v>197</v>
      </c>
      <c r="H234" s="1" t="s">
        <v>250</v>
      </c>
      <c r="J234" s="9">
        <f t="shared" si="8"/>
        <v>392.2</v>
      </c>
      <c r="K234" s="1">
        <v>2000</v>
      </c>
      <c r="L234" s="1" t="s">
        <v>10</v>
      </c>
      <c r="N234" s="1" t="s">
        <v>218</v>
      </c>
      <c r="P234" s="1" t="s">
        <v>234</v>
      </c>
      <c r="S234" s="1">
        <f t="shared" si="7"/>
        <v>392.2</v>
      </c>
      <c r="T234" s="1">
        <v>123.2</v>
      </c>
    </row>
    <row r="235" spans="1:20" ht="15.75" customHeight="1" x14ac:dyDescent="0.2">
      <c r="A235" s="6">
        <v>235</v>
      </c>
      <c r="C235" s="1">
        <v>47</v>
      </c>
      <c r="D235" s="1">
        <v>3</v>
      </c>
      <c r="E235" s="1">
        <v>8</v>
      </c>
      <c r="F235" s="1" t="s">
        <v>12</v>
      </c>
      <c r="G235" s="1" t="s">
        <v>183</v>
      </c>
      <c r="H235" s="1" t="s">
        <v>380</v>
      </c>
      <c r="J235" s="9">
        <f t="shared" si="8"/>
        <v>137.79999999999998</v>
      </c>
      <c r="K235" s="1">
        <v>1300</v>
      </c>
      <c r="L235" s="1" t="s">
        <v>10</v>
      </c>
      <c r="N235" s="1" t="s">
        <v>219</v>
      </c>
      <c r="P235" s="1" t="s">
        <v>234</v>
      </c>
      <c r="Q235" s="1" t="s">
        <v>42</v>
      </c>
      <c r="R235" s="1" t="s">
        <v>13</v>
      </c>
      <c r="S235" s="1">
        <f t="shared" si="7"/>
        <v>137.79999999999998</v>
      </c>
      <c r="T235" s="1">
        <v>43.3</v>
      </c>
    </row>
    <row r="236" spans="1:20" ht="15.75" customHeight="1" x14ac:dyDescent="0.2">
      <c r="A236" s="6">
        <v>236</v>
      </c>
      <c r="C236" s="1">
        <v>47</v>
      </c>
      <c r="D236" s="1">
        <v>7</v>
      </c>
      <c r="E236" s="1">
        <v>8.5</v>
      </c>
      <c r="F236" s="1" t="s">
        <v>12</v>
      </c>
      <c r="G236" s="1" t="s">
        <v>183</v>
      </c>
      <c r="H236" s="1" t="s">
        <v>380</v>
      </c>
      <c r="J236" s="9">
        <f t="shared" si="8"/>
        <v>143.19999999999999</v>
      </c>
      <c r="K236" s="1">
        <v>1300</v>
      </c>
      <c r="L236" s="1" t="s">
        <v>34</v>
      </c>
      <c r="N236" s="1" t="s">
        <v>219</v>
      </c>
      <c r="P236" s="1" t="s">
        <v>234</v>
      </c>
      <c r="Q236" s="1" t="s">
        <v>42</v>
      </c>
      <c r="R236" s="1" t="s">
        <v>13</v>
      </c>
      <c r="S236" s="1">
        <f t="shared" si="7"/>
        <v>143.19999999999999</v>
      </c>
      <c r="T236" s="1">
        <v>45</v>
      </c>
    </row>
    <row r="237" spans="1:20" ht="15.75" customHeight="1" x14ac:dyDescent="0.2">
      <c r="A237" s="6">
        <v>237</v>
      </c>
      <c r="C237" s="1">
        <v>47</v>
      </c>
      <c r="D237" s="1">
        <v>9</v>
      </c>
      <c r="E237" s="1">
        <v>5</v>
      </c>
      <c r="F237" s="1" t="s">
        <v>12</v>
      </c>
      <c r="G237" s="1" t="s">
        <v>183</v>
      </c>
      <c r="H237" s="1" t="s">
        <v>380</v>
      </c>
      <c r="J237" s="9">
        <f t="shared" si="8"/>
        <v>122.5</v>
      </c>
      <c r="K237" s="1">
        <v>1500</v>
      </c>
      <c r="L237" s="1" t="s">
        <v>10</v>
      </c>
      <c r="N237" s="1" t="s">
        <v>219</v>
      </c>
      <c r="P237" s="1" t="s">
        <v>234</v>
      </c>
      <c r="Q237" s="1" t="s">
        <v>42</v>
      </c>
      <c r="R237" s="1" t="s">
        <v>13</v>
      </c>
      <c r="S237" s="1">
        <f t="shared" si="7"/>
        <v>122.5</v>
      </c>
      <c r="T237" s="1">
        <v>38.5</v>
      </c>
    </row>
    <row r="238" spans="1:20" ht="15.75" customHeight="1" x14ac:dyDescent="0.2">
      <c r="A238" s="6">
        <v>238</v>
      </c>
      <c r="C238" s="1">
        <v>48</v>
      </c>
      <c r="D238" s="1">
        <v>7.5</v>
      </c>
      <c r="E238" s="1">
        <v>0.5</v>
      </c>
      <c r="F238" s="1" t="s">
        <v>48</v>
      </c>
      <c r="G238" s="1" t="s">
        <v>189</v>
      </c>
      <c r="H238" s="1" t="s">
        <v>49</v>
      </c>
      <c r="J238" s="9">
        <f t="shared" si="8"/>
        <v>149.30000000000001</v>
      </c>
      <c r="K238" s="1">
        <v>1300</v>
      </c>
      <c r="L238" s="1" t="s">
        <v>34</v>
      </c>
      <c r="N238" s="1" t="s">
        <v>208</v>
      </c>
      <c r="P238" s="1" t="s">
        <v>234</v>
      </c>
      <c r="R238" s="1" t="s">
        <v>50</v>
      </c>
      <c r="S238" s="1">
        <f t="shared" si="7"/>
        <v>149.30000000000001</v>
      </c>
      <c r="T238" s="1">
        <v>46.9</v>
      </c>
    </row>
    <row r="239" spans="1:20" ht="15.75" customHeight="1" x14ac:dyDescent="0.2">
      <c r="A239" s="6">
        <v>239</v>
      </c>
      <c r="C239" s="1">
        <v>48</v>
      </c>
      <c r="D239" s="1">
        <v>9.8000000000000007</v>
      </c>
      <c r="E239" s="1">
        <v>2</v>
      </c>
      <c r="F239" s="1" t="s">
        <v>48</v>
      </c>
      <c r="G239" s="1" t="s">
        <v>190</v>
      </c>
      <c r="H239" s="1" t="s">
        <v>249</v>
      </c>
      <c r="J239" s="9">
        <f t="shared" si="8"/>
        <v>213.9</v>
      </c>
      <c r="K239" s="1">
        <v>1300</v>
      </c>
      <c r="L239" s="1" t="s">
        <v>10</v>
      </c>
      <c r="N239" s="1" t="s">
        <v>212</v>
      </c>
      <c r="P239" s="1" t="s">
        <v>234</v>
      </c>
      <c r="Q239" s="1" t="s">
        <v>29</v>
      </c>
      <c r="S239" s="1">
        <f t="shared" si="7"/>
        <v>213.9</v>
      </c>
      <c r="T239" s="1">
        <v>67.2</v>
      </c>
    </row>
    <row r="240" spans="1:20" ht="15.75" customHeight="1" x14ac:dyDescent="0.2">
      <c r="A240" s="6">
        <v>240</v>
      </c>
      <c r="C240" s="1">
        <v>48</v>
      </c>
      <c r="D240" s="1">
        <v>5</v>
      </c>
      <c r="E240" s="1">
        <v>2.5</v>
      </c>
      <c r="F240" s="1" t="s">
        <v>20</v>
      </c>
      <c r="G240" s="1" t="s">
        <v>405</v>
      </c>
      <c r="H240" s="13" t="s">
        <v>47</v>
      </c>
      <c r="J240" s="9">
        <f t="shared" si="8"/>
        <v>247.60000000000002</v>
      </c>
      <c r="K240" s="1">
        <v>1300</v>
      </c>
      <c r="L240" s="1" t="s">
        <v>10</v>
      </c>
      <c r="S240" s="1">
        <f t="shared" si="7"/>
        <v>247.60000000000002</v>
      </c>
      <c r="T240" s="1">
        <v>77.8</v>
      </c>
    </row>
    <row r="241" spans="1:20" ht="15.75" customHeight="1" x14ac:dyDescent="0.2">
      <c r="A241" s="6">
        <v>241</v>
      </c>
      <c r="C241" s="1">
        <v>48</v>
      </c>
      <c r="D241" s="1">
        <v>2.5</v>
      </c>
      <c r="E241" s="1">
        <v>3</v>
      </c>
      <c r="F241" s="1" t="s">
        <v>65</v>
      </c>
      <c r="G241" s="1" t="s">
        <v>334</v>
      </c>
      <c r="H241" s="1" t="s">
        <v>66</v>
      </c>
      <c r="J241" s="9">
        <f t="shared" si="8"/>
        <v>189.1</v>
      </c>
      <c r="K241" s="1">
        <v>1300</v>
      </c>
      <c r="L241" s="1" t="s">
        <v>5</v>
      </c>
      <c r="N241" s="14" t="s">
        <v>335</v>
      </c>
      <c r="P241" s="1" t="s">
        <v>32</v>
      </c>
      <c r="S241" s="1">
        <f t="shared" si="7"/>
        <v>189.1</v>
      </c>
      <c r="T241" s="1">
        <v>59.4</v>
      </c>
    </row>
    <row r="242" spans="1:20" ht="15.75" customHeight="1" x14ac:dyDescent="0.2">
      <c r="A242" s="6">
        <v>242</v>
      </c>
      <c r="C242" s="1">
        <v>48</v>
      </c>
      <c r="D242" s="1">
        <v>8</v>
      </c>
      <c r="E242" s="1">
        <v>7</v>
      </c>
      <c r="F242" s="1" t="s">
        <v>114</v>
      </c>
      <c r="G242" s="1" t="s">
        <v>185</v>
      </c>
      <c r="H242" s="1" t="s">
        <v>36</v>
      </c>
      <c r="J242" s="9">
        <f t="shared" si="8"/>
        <v>288.7</v>
      </c>
      <c r="K242" s="1">
        <v>1300</v>
      </c>
      <c r="L242" s="1" t="s">
        <v>10</v>
      </c>
      <c r="N242" s="1" t="s">
        <v>216</v>
      </c>
      <c r="P242" s="1" t="s">
        <v>234</v>
      </c>
      <c r="Q242" s="1" t="s">
        <v>122</v>
      </c>
      <c r="S242" s="1">
        <f t="shared" si="7"/>
        <v>288.7</v>
      </c>
      <c r="T242" s="1">
        <v>90.7</v>
      </c>
    </row>
    <row r="243" spans="1:20" ht="15.75" customHeight="1" x14ac:dyDescent="0.2">
      <c r="A243" s="6">
        <v>243</v>
      </c>
      <c r="C243" s="1">
        <v>48</v>
      </c>
      <c r="D243" s="1">
        <v>2.5</v>
      </c>
      <c r="E243" s="1">
        <v>9</v>
      </c>
      <c r="F243" s="1" t="s">
        <v>48</v>
      </c>
      <c r="G243" s="1" t="s">
        <v>374</v>
      </c>
      <c r="H243" s="1" t="s">
        <v>98</v>
      </c>
      <c r="J243" s="9">
        <f t="shared" si="8"/>
        <v>134</v>
      </c>
      <c r="K243" s="1">
        <v>1300</v>
      </c>
      <c r="L243" s="1" t="s">
        <v>10</v>
      </c>
      <c r="N243" s="14" t="s">
        <v>312</v>
      </c>
      <c r="P243" s="1" t="s">
        <v>234</v>
      </c>
      <c r="S243" s="1">
        <f t="shared" si="7"/>
        <v>134</v>
      </c>
      <c r="T243" s="1">
        <v>42.1</v>
      </c>
    </row>
    <row r="244" spans="1:20" ht="15.75" customHeight="1" x14ac:dyDescent="0.2">
      <c r="A244" s="6">
        <v>244</v>
      </c>
      <c r="C244" s="1">
        <v>49</v>
      </c>
      <c r="D244" s="1">
        <v>6</v>
      </c>
      <c r="E244" s="1">
        <v>3</v>
      </c>
      <c r="F244" s="1" t="s">
        <v>78</v>
      </c>
      <c r="G244" s="1" t="s">
        <v>192</v>
      </c>
      <c r="H244" s="1" t="s">
        <v>95</v>
      </c>
      <c r="J244" s="9">
        <f t="shared" si="8"/>
        <v>157.89999999999998</v>
      </c>
      <c r="K244" s="1">
        <v>1300</v>
      </c>
      <c r="L244" s="1" t="s">
        <v>34</v>
      </c>
      <c r="N244" s="1" t="s">
        <v>231</v>
      </c>
      <c r="P244" s="1" t="s">
        <v>234</v>
      </c>
      <c r="S244" s="1">
        <f t="shared" si="7"/>
        <v>157.89999999999998</v>
      </c>
      <c r="T244" s="1">
        <v>49.6</v>
      </c>
    </row>
    <row r="245" spans="1:20" ht="15.75" customHeight="1" x14ac:dyDescent="0.2">
      <c r="A245" s="6">
        <v>245</v>
      </c>
      <c r="C245" s="1">
        <v>49</v>
      </c>
      <c r="D245" s="1">
        <v>6</v>
      </c>
      <c r="E245" s="1">
        <v>3.5</v>
      </c>
      <c r="F245" s="1" t="s">
        <v>20</v>
      </c>
      <c r="G245" s="1" t="s">
        <v>405</v>
      </c>
      <c r="H245" s="13" t="s">
        <v>47</v>
      </c>
      <c r="J245" s="9">
        <f t="shared" si="8"/>
        <v>227.89999999999998</v>
      </c>
      <c r="K245" s="1">
        <v>1300</v>
      </c>
      <c r="L245" s="1" t="s">
        <v>10</v>
      </c>
      <c r="R245" s="1" t="s">
        <v>21</v>
      </c>
      <c r="S245" s="1">
        <f t="shared" si="7"/>
        <v>227.89999999999998</v>
      </c>
      <c r="T245" s="1">
        <v>71.599999999999994</v>
      </c>
    </row>
    <row r="246" spans="1:20" ht="15.75" customHeight="1" x14ac:dyDescent="0.2">
      <c r="A246" s="6">
        <v>246</v>
      </c>
      <c r="C246" s="1">
        <v>49</v>
      </c>
      <c r="D246" s="1">
        <v>1</v>
      </c>
      <c r="E246" s="1">
        <v>4.5</v>
      </c>
      <c r="F246" s="1" t="s">
        <v>39</v>
      </c>
      <c r="G246" s="1" t="s">
        <v>280</v>
      </c>
      <c r="H246" s="11" t="s">
        <v>281</v>
      </c>
      <c r="I246" s="1" t="s">
        <v>100</v>
      </c>
      <c r="J246" s="9">
        <f t="shared" si="8"/>
        <v>191</v>
      </c>
      <c r="K246" s="1">
        <v>1300</v>
      </c>
      <c r="L246" s="1" t="s">
        <v>19</v>
      </c>
      <c r="N246" s="14" t="s">
        <v>313</v>
      </c>
      <c r="P246" s="1" t="s">
        <v>234</v>
      </c>
      <c r="Q246" s="1" t="s">
        <v>123</v>
      </c>
      <c r="S246" s="1">
        <f t="shared" si="7"/>
        <v>191</v>
      </c>
      <c r="T246" s="1">
        <v>60</v>
      </c>
    </row>
    <row r="247" spans="1:20" ht="15.75" customHeight="1" x14ac:dyDescent="0.2">
      <c r="A247" s="6">
        <v>247</v>
      </c>
      <c r="C247" s="1">
        <v>49</v>
      </c>
      <c r="D247" s="1">
        <v>7</v>
      </c>
      <c r="E247" s="1">
        <v>9</v>
      </c>
      <c r="F247" s="1" t="s">
        <v>48</v>
      </c>
      <c r="G247" s="1" t="s">
        <v>189</v>
      </c>
      <c r="H247" s="1" t="s">
        <v>49</v>
      </c>
      <c r="J247" s="9">
        <f t="shared" si="8"/>
        <v>124.1</v>
      </c>
      <c r="K247" s="1">
        <v>1300</v>
      </c>
      <c r="L247" s="1" t="s">
        <v>10</v>
      </c>
      <c r="N247" s="1" t="s">
        <v>208</v>
      </c>
      <c r="P247" s="1" t="s">
        <v>234</v>
      </c>
      <c r="R247" s="1" t="s">
        <v>50</v>
      </c>
      <c r="S247" s="1">
        <f t="shared" si="7"/>
        <v>124.1</v>
      </c>
      <c r="T247" s="1">
        <v>39</v>
      </c>
    </row>
    <row r="248" spans="1:20" ht="15.75" customHeight="1" x14ac:dyDescent="0.2">
      <c r="A248" s="6">
        <v>248</v>
      </c>
      <c r="C248" s="1">
        <v>50</v>
      </c>
      <c r="D248" s="1">
        <v>4</v>
      </c>
      <c r="E248" s="1">
        <v>3</v>
      </c>
      <c r="F248" s="1" t="s">
        <v>114</v>
      </c>
      <c r="G248" s="1" t="s">
        <v>185</v>
      </c>
      <c r="H248" s="1" t="s">
        <v>36</v>
      </c>
      <c r="J248" s="9">
        <f t="shared" si="8"/>
        <v>148</v>
      </c>
      <c r="K248" s="1">
        <v>1300</v>
      </c>
      <c r="L248" s="1" t="s">
        <v>10</v>
      </c>
      <c r="N248" s="1" t="s">
        <v>216</v>
      </c>
      <c r="P248" s="1" t="s">
        <v>234</v>
      </c>
      <c r="S248" s="1">
        <f t="shared" si="7"/>
        <v>148</v>
      </c>
      <c r="T248" s="1">
        <v>46.5</v>
      </c>
    </row>
    <row r="249" spans="1:20" ht="15.75" customHeight="1" x14ac:dyDescent="0.2">
      <c r="A249" s="6">
        <v>249</v>
      </c>
      <c r="C249" s="1">
        <v>50</v>
      </c>
      <c r="D249" s="1">
        <v>8.5</v>
      </c>
      <c r="E249" s="1">
        <v>2</v>
      </c>
      <c r="F249" s="1" t="s">
        <v>279</v>
      </c>
      <c r="G249" s="1" t="s">
        <v>373</v>
      </c>
      <c r="H249" s="1" t="s">
        <v>342</v>
      </c>
      <c r="J249" s="9">
        <f t="shared" si="8"/>
        <v>100.60000000000001</v>
      </c>
      <c r="K249" s="1">
        <v>1300</v>
      </c>
      <c r="L249" s="1" t="s">
        <v>10</v>
      </c>
      <c r="N249" s="14" t="s">
        <v>315</v>
      </c>
      <c r="P249" s="1" t="s">
        <v>32</v>
      </c>
      <c r="S249" s="1">
        <f t="shared" si="7"/>
        <v>100.60000000000001</v>
      </c>
      <c r="T249" s="1">
        <v>31.6</v>
      </c>
    </row>
    <row r="250" spans="1:20" ht="15.75" customHeight="1" x14ac:dyDescent="0.2">
      <c r="A250" s="6">
        <v>250</v>
      </c>
      <c r="C250" s="1">
        <v>50</v>
      </c>
      <c r="D250" s="1">
        <v>5.5</v>
      </c>
      <c r="E250" s="1">
        <v>8.5</v>
      </c>
      <c r="F250" s="1" t="s">
        <v>65</v>
      </c>
      <c r="G250" s="1" t="s">
        <v>182</v>
      </c>
      <c r="H250" s="1" t="s">
        <v>66</v>
      </c>
      <c r="J250" s="9">
        <f t="shared" si="8"/>
        <v>149.9</v>
      </c>
      <c r="K250" s="1">
        <v>1300</v>
      </c>
      <c r="L250" s="1" t="s">
        <v>34</v>
      </c>
      <c r="N250" s="1" t="s">
        <v>213</v>
      </c>
      <c r="P250" s="1" t="s">
        <v>234</v>
      </c>
      <c r="S250" s="1">
        <f t="shared" si="7"/>
        <v>149.9</v>
      </c>
      <c r="T250" s="1">
        <v>47.1</v>
      </c>
    </row>
    <row r="251" spans="1:20" ht="15.75" customHeight="1" x14ac:dyDescent="0.2">
      <c r="A251" s="6">
        <v>251</v>
      </c>
      <c r="C251" s="1">
        <v>50</v>
      </c>
      <c r="D251" s="1">
        <v>2</v>
      </c>
      <c r="E251" s="1">
        <v>8.5</v>
      </c>
      <c r="F251" s="1" t="s">
        <v>20</v>
      </c>
      <c r="G251" s="1" t="s">
        <v>405</v>
      </c>
      <c r="H251" s="1" t="s">
        <v>47</v>
      </c>
      <c r="J251" s="9">
        <f t="shared" si="8"/>
        <v>408.7</v>
      </c>
      <c r="K251" s="1">
        <v>1300</v>
      </c>
      <c r="L251" s="1" t="s">
        <v>10</v>
      </c>
      <c r="S251" s="1">
        <f t="shared" si="7"/>
        <v>408.7</v>
      </c>
      <c r="T251" s="1">
        <v>128.4</v>
      </c>
    </row>
    <row r="252" spans="1:20" ht="15.75" customHeight="1" x14ac:dyDescent="0.2">
      <c r="A252" s="6">
        <v>252</v>
      </c>
      <c r="C252" s="1">
        <v>50</v>
      </c>
      <c r="D252" s="1">
        <v>7</v>
      </c>
      <c r="E252" s="1">
        <v>5</v>
      </c>
      <c r="F252" s="1" t="s">
        <v>48</v>
      </c>
      <c r="G252" s="1" t="s">
        <v>189</v>
      </c>
      <c r="H252" s="1" t="s">
        <v>49</v>
      </c>
      <c r="J252" s="9">
        <f t="shared" si="8"/>
        <v>119</v>
      </c>
      <c r="K252" s="1">
        <v>1300</v>
      </c>
      <c r="L252" s="1" t="s">
        <v>34</v>
      </c>
      <c r="N252" s="1" t="s">
        <v>208</v>
      </c>
      <c r="P252" s="1" t="s">
        <v>234</v>
      </c>
      <c r="R252" s="1" t="s">
        <v>50</v>
      </c>
      <c r="S252" s="1">
        <f t="shared" si="7"/>
        <v>119</v>
      </c>
      <c r="T252" s="1">
        <v>37.4</v>
      </c>
    </row>
    <row r="253" spans="1:20" ht="15.75" customHeight="1" x14ac:dyDescent="0.2">
      <c r="A253" s="6">
        <v>253</v>
      </c>
      <c r="C253" s="1">
        <v>51</v>
      </c>
      <c r="D253" s="1">
        <v>8.5</v>
      </c>
      <c r="E253" s="1">
        <v>9</v>
      </c>
      <c r="F253" s="1" t="s">
        <v>48</v>
      </c>
      <c r="G253" s="1" t="s">
        <v>190</v>
      </c>
      <c r="H253" s="1" t="s">
        <v>249</v>
      </c>
      <c r="J253" s="9">
        <f t="shared" si="8"/>
        <v>132.69999999999999</v>
      </c>
      <c r="K253" s="1">
        <v>1300</v>
      </c>
      <c r="L253" s="1" t="s">
        <v>34</v>
      </c>
      <c r="N253" s="1" t="s">
        <v>212</v>
      </c>
      <c r="P253" s="1" t="s">
        <v>234</v>
      </c>
      <c r="Q253" s="1" t="s">
        <v>88</v>
      </c>
      <c r="S253" s="1">
        <f t="shared" si="7"/>
        <v>132.69999999999999</v>
      </c>
      <c r="T253" s="1">
        <v>41.7</v>
      </c>
    </row>
    <row r="254" spans="1:20" ht="15.75" customHeight="1" x14ac:dyDescent="0.2">
      <c r="A254" s="6">
        <v>254</v>
      </c>
      <c r="C254" s="1">
        <v>51</v>
      </c>
      <c r="D254" s="1">
        <v>9</v>
      </c>
      <c r="E254" s="1">
        <v>6</v>
      </c>
      <c r="F254" s="1" t="s">
        <v>12</v>
      </c>
      <c r="G254" s="1" t="s">
        <v>183</v>
      </c>
      <c r="H254" s="1" t="s">
        <v>380</v>
      </c>
      <c r="J254" s="9">
        <f t="shared" si="8"/>
        <v>112.4</v>
      </c>
      <c r="K254" s="1">
        <v>1300</v>
      </c>
      <c r="L254" s="1" t="s">
        <v>10</v>
      </c>
      <c r="N254" s="1" t="s">
        <v>219</v>
      </c>
      <c r="P254" s="1" t="s">
        <v>234</v>
      </c>
      <c r="Q254" s="1" t="s">
        <v>42</v>
      </c>
      <c r="R254" s="1" t="s">
        <v>13</v>
      </c>
      <c r="S254" s="1">
        <f t="shared" si="7"/>
        <v>112.4</v>
      </c>
      <c r="T254" s="1">
        <v>35.299999999999997</v>
      </c>
    </row>
    <row r="255" spans="1:20" ht="15.75" customHeight="1" x14ac:dyDescent="0.2">
      <c r="A255" s="6">
        <v>255</v>
      </c>
      <c r="C255" s="1">
        <v>51</v>
      </c>
      <c r="D255" s="1">
        <v>7.5</v>
      </c>
      <c r="E255" s="1">
        <v>2</v>
      </c>
      <c r="F255" s="1" t="s">
        <v>22</v>
      </c>
      <c r="G255" s="1" t="s">
        <v>130</v>
      </c>
      <c r="H255" s="1" t="s">
        <v>62</v>
      </c>
      <c r="J255" s="9">
        <f t="shared" si="8"/>
        <v>109.2</v>
      </c>
      <c r="K255" s="1">
        <v>1300</v>
      </c>
      <c r="L255" s="1" t="s">
        <v>10</v>
      </c>
      <c r="N255" s="14" t="s">
        <v>322</v>
      </c>
      <c r="P255" s="1" t="s">
        <v>234</v>
      </c>
      <c r="S255" s="1">
        <f t="shared" si="7"/>
        <v>109.2</v>
      </c>
      <c r="T255" s="1">
        <v>34.299999999999997</v>
      </c>
    </row>
    <row r="256" spans="1:20" ht="15.75" customHeight="1" x14ac:dyDescent="0.2">
      <c r="A256" s="6">
        <v>256</v>
      </c>
      <c r="C256" s="1">
        <v>51</v>
      </c>
      <c r="D256" s="1">
        <v>7</v>
      </c>
      <c r="E256" s="1">
        <v>0.3</v>
      </c>
      <c r="F256" s="1" t="s">
        <v>12</v>
      </c>
      <c r="G256" s="1" t="s">
        <v>183</v>
      </c>
      <c r="H256" s="1" t="s">
        <v>380</v>
      </c>
      <c r="J256" s="9">
        <f t="shared" si="8"/>
        <v>124.80000000000001</v>
      </c>
      <c r="K256" s="1">
        <v>1300</v>
      </c>
      <c r="L256" s="1" t="s">
        <v>10</v>
      </c>
      <c r="N256" s="1" t="s">
        <v>219</v>
      </c>
      <c r="P256" s="1" t="s">
        <v>234</v>
      </c>
      <c r="Q256" s="1" t="s">
        <v>42</v>
      </c>
      <c r="R256" s="1" t="s">
        <v>13</v>
      </c>
      <c r="S256" s="1">
        <f t="shared" si="7"/>
        <v>124.80000000000001</v>
      </c>
      <c r="T256" s="1">
        <v>39.200000000000003</v>
      </c>
    </row>
    <row r="257" spans="1:20" ht="15.75" customHeight="1" x14ac:dyDescent="0.2">
      <c r="A257" s="6">
        <v>257</v>
      </c>
      <c r="C257" s="1">
        <v>51</v>
      </c>
      <c r="D257" s="1">
        <v>2.5</v>
      </c>
      <c r="E257" s="1">
        <v>2</v>
      </c>
      <c r="F257" s="1" t="s">
        <v>48</v>
      </c>
      <c r="G257" s="1" t="s">
        <v>190</v>
      </c>
      <c r="H257" s="1" t="s">
        <v>249</v>
      </c>
      <c r="J257" s="9">
        <f t="shared" si="8"/>
        <v>109.80000000000001</v>
      </c>
      <c r="K257" s="1">
        <v>1300</v>
      </c>
      <c r="L257" s="1" t="s">
        <v>19</v>
      </c>
      <c r="N257" s="1" t="s">
        <v>212</v>
      </c>
      <c r="P257" s="1" t="s">
        <v>234</v>
      </c>
      <c r="Q257" s="1" t="s">
        <v>124</v>
      </c>
      <c r="S257" s="1">
        <f t="shared" si="7"/>
        <v>109.80000000000001</v>
      </c>
      <c r="T257" s="1">
        <v>34.5</v>
      </c>
    </row>
    <row r="258" spans="1:20" ht="15.75" customHeight="1" x14ac:dyDescent="0.2">
      <c r="A258" s="6">
        <v>258</v>
      </c>
      <c r="C258" s="1">
        <v>52</v>
      </c>
      <c r="D258" s="1">
        <v>1</v>
      </c>
      <c r="E258" s="1">
        <v>7</v>
      </c>
      <c r="F258" s="1" t="s">
        <v>12</v>
      </c>
      <c r="G258" s="1" t="s">
        <v>183</v>
      </c>
      <c r="H258" s="1" t="s">
        <v>380</v>
      </c>
      <c r="J258" s="9">
        <f t="shared" si="8"/>
        <v>121.6</v>
      </c>
      <c r="K258" s="1">
        <v>1300</v>
      </c>
      <c r="L258" s="1" t="s">
        <v>10</v>
      </c>
      <c r="N258" s="1" t="s">
        <v>219</v>
      </c>
      <c r="P258" s="1" t="s">
        <v>234</v>
      </c>
      <c r="Q258" s="1" t="s">
        <v>42</v>
      </c>
      <c r="R258" s="1" t="s">
        <v>13</v>
      </c>
      <c r="S258" s="1">
        <f t="shared" si="7"/>
        <v>121.6</v>
      </c>
      <c r="T258" s="1">
        <v>38.200000000000003</v>
      </c>
    </row>
    <row r="259" spans="1:20" ht="15.75" customHeight="1" x14ac:dyDescent="0.2">
      <c r="A259" s="6">
        <v>259</v>
      </c>
      <c r="C259" s="1">
        <v>52</v>
      </c>
      <c r="D259" s="1">
        <v>5</v>
      </c>
      <c r="E259" s="1">
        <v>5</v>
      </c>
      <c r="F259" s="1" t="s">
        <v>15</v>
      </c>
      <c r="G259" s="1" t="s">
        <v>16</v>
      </c>
      <c r="H259" s="1" t="s">
        <v>268</v>
      </c>
      <c r="J259" s="9">
        <f t="shared" si="8"/>
        <v>192.3</v>
      </c>
      <c r="K259" s="1">
        <v>1300</v>
      </c>
      <c r="L259" s="1" t="s">
        <v>5</v>
      </c>
      <c r="R259" s="1" t="s">
        <v>38</v>
      </c>
      <c r="S259" s="1">
        <f t="shared" si="7"/>
        <v>192.3</v>
      </c>
      <c r="T259" s="1">
        <v>60.4</v>
      </c>
    </row>
    <row r="260" spans="1:20" ht="15.75" customHeight="1" x14ac:dyDescent="0.2">
      <c r="A260" s="6">
        <v>260</v>
      </c>
      <c r="C260" s="1">
        <v>52</v>
      </c>
      <c r="D260" s="1">
        <v>5</v>
      </c>
      <c r="E260" s="1">
        <v>1.5</v>
      </c>
      <c r="F260" s="1" t="s">
        <v>83</v>
      </c>
      <c r="G260" s="1" t="s">
        <v>84</v>
      </c>
      <c r="H260" s="1" t="s">
        <v>247</v>
      </c>
      <c r="J260" s="9">
        <f t="shared" si="8"/>
        <v>200.5</v>
      </c>
      <c r="K260" s="1">
        <v>1300</v>
      </c>
      <c r="L260" s="1" t="s">
        <v>125</v>
      </c>
      <c r="N260" s="1" t="s">
        <v>229</v>
      </c>
      <c r="P260" s="1" t="s">
        <v>32</v>
      </c>
      <c r="Q260" s="1" t="s">
        <v>126</v>
      </c>
      <c r="S260" s="1">
        <f t="shared" si="7"/>
        <v>200.5</v>
      </c>
      <c r="T260" s="1">
        <v>63</v>
      </c>
    </row>
    <row r="261" spans="1:20" ht="15.75" customHeight="1" x14ac:dyDescent="0.2">
      <c r="A261" s="6">
        <v>261</v>
      </c>
      <c r="C261" s="1">
        <v>53</v>
      </c>
      <c r="D261" s="1">
        <v>2</v>
      </c>
      <c r="E261" s="1">
        <v>4</v>
      </c>
      <c r="F261" s="1" t="s">
        <v>22</v>
      </c>
      <c r="G261" s="1" t="s">
        <v>191</v>
      </c>
      <c r="H261" s="1" t="s">
        <v>389</v>
      </c>
      <c r="J261" s="9">
        <f t="shared" si="8"/>
        <v>183.29999999999998</v>
      </c>
      <c r="K261" s="1">
        <v>1300</v>
      </c>
      <c r="L261" s="1" t="s">
        <v>5</v>
      </c>
      <c r="N261" s="1" t="s">
        <v>285</v>
      </c>
      <c r="P261" s="1" t="s">
        <v>234</v>
      </c>
      <c r="S261" s="1">
        <f t="shared" si="7"/>
        <v>183.29999999999998</v>
      </c>
      <c r="T261" s="1">
        <v>57.6</v>
      </c>
    </row>
    <row r="262" spans="1:20" ht="15.75" customHeight="1" x14ac:dyDescent="0.2">
      <c r="A262" s="6">
        <v>262</v>
      </c>
      <c r="C262" s="1">
        <v>54</v>
      </c>
      <c r="D262" s="1">
        <v>5</v>
      </c>
      <c r="E262" s="1">
        <v>9.5</v>
      </c>
      <c r="F262" s="1" t="s">
        <v>48</v>
      </c>
      <c r="G262" s="1" t="s">
        <v>190</v>
      </c>
      <c r="H262" s="1" t="s">
        <v>249</v>
      </c>
      <c r="J262" s="9">
        <f t="shared" si="8"/>
        <v>100.3</v>
      </c>
      <c r="K262" s="1">
        <v>1300</v>
      </c>
      <c r="L262" s="1" t="s">
        <v>10</v>
      </c>
      <c r="N262" s="1" t="s">
        <v>212</v>
      </c>
      <c r="P262" s="1" t="s">
        <v>234</v>
      </c>
      <c r="S262" s="1">
        <f t="shared" si="7"/>
        <v>100.3</v>
      </c>
      <c r="T262" s="1">
        <v>31.5</v>
      </c>
    </row>
    <row r="263" spans="1:20" ht="15.75" customHeight="1" x14ac:dyDescent="0.2">
      <c r="A263" s="6">
        <v>263</v>
      </c>
      <c r="C263" s="1">
        <v>54</v>
      </c>
      <c r="D263" s="1">
        <v>5</v>
      </c>
      <c r="E263" s="1">
        <v>4.5</v>
      </c>
      <c r="F263" s="1" t="s">
        <v>12</v>
      </c>
      <c r="G263" s="1" t="s">
        <v>183</v>
      </c>
      <c r="H263" s="1" t="s">
        <v>380</v>
      </c>
      <c r="J263" s="9">
        <f t="shared" si="8"/>
        <v>135</v>
      </c>
      <c r="K263" s="1">
        <v>1300</v>
      </c>
      <c r="L263" s="1" t="s">
        <v>10</v>
      </c>
      <c r="N263" s="1" t="s">
        <v>219</v>
      </c>
      <c r="P263" s="1" t="s">
        <v>234</v>
      </c>
      <c r="Q263" s="1" t="s">
        <v>42</v>
      </c>
      <c r="R263" s="1" t="s">
        <v>13</v>
      </c>
      <c r="S263" s="1">
        <f t="shared" ref="S263:S326" si="9">ROUND(T263/PI(), 2) * 10</f>
        <v>135</v>
      </c>
      <c r="T263" s="1">
        <v>42.4</v>
      </c>
    </row>
    <row r="264" spans="1:20" ht="15.75" customHeight="1" x14ac:dyDescent="0.2">
      <c r="A264" s="6">
        <v>264</v>
      </c>
      <c r="C264" s="1">
        <v>54</v>
      </c>
      <c r="D264" s="1">
        <v>6</v>
      </c>
      <c r="E264" s="1">
        <v>2</v>
      </c>
      <c r="F264" s="1" t="s">
        <v>15</v>
      </c>
      <c r="G264" s="1" t="s">
        <v>16</v>
      </c>
      <c r="H264" s="1" t="s">
        <v>268</v>
      </c>
      <c r="J264" s="9">
        <f t="shared" si="8"/>
        <v>168.1</v>
      </c>
      <c r="K264" s="1">
        <v>1300</v>
      </c>
      <c r="L264" s="1" t="s">
        <v>107</v>
      </c>
      <c r="Q264" s="1" t="s">
        <v>127</v>
      </c>
      <c r="S264" s="1">
        <f t="shared" si="9"/>
        <v>168.1</v>
      </c>
      <c r="T264" s="1">
        <v>52.8</v>
      </c>
    </row>
    <row r="265" spans="1:20" ht="15.75" customHeight="1" x14ac:dyDescent="0.2">
      <c r="A265" s="6">
        <v>265</v>
      </c>
      <c r="C265" s="1">
        <v>54</v>
      </c>
      <c r="D265" s="1">
        <v>0.2</v>
      </c>
      <c r="E265" s="1">
        <v>3.5</v>
      </c>
      <c r="F265" s="1" t="s">
        <v>12</v>
      </c>
      <c r="G265" s="1" t="s">
        <v>183</v>
      </c>
      <c r="H265" s="1" t="s">
        <v>380</v>
      </c>
      <c r="J265" s="9">
        <f t="shared" si="8"/>
        <v>99.9</v>
      </c>
      <c r="K265" s="1">
        <v>1300</v>
      </c>
      <c r="L265" s="1" t="s">
        <v>10</v>
      </c>
      <c r="N265" s="1" t="s">
        <v>219</v>
      </c>
      <c r="P265" s="1" t="s">
        <v>234</v>
      </c>
      <c r="Q265" s="1" t="s">
        <v>42</v>
      </c>
      <c r="R265" s="1" t="s">
        <v>13</v>
      </c>
      <c r="S265" s="1">
        <f t="shared" si="9"/>
        <v>99.9</v>
      </c>
      <c r="T265" s="1">
        <v>31.4</v>
      </c>
    </row>
    <row r="266" spans="1:20" ht="15.75" customHeight="1" x14ac:dyDescent="0.2">
      <c r="A266" s="6">
        <v>266</v>
      </c>
      <c r="C266" s="1">
        <v>55</v>
      </c>
      <c r="D266" s="1">
        <v>5</v>
      </c>
      <c r="E266" s="1">
        <v>8</v>
      </c>
      <c r="F266" s="1" t="s">
        <v>39</v>
      </c>
      <c r="G266" s="1" t="s">
        <v>400</v>
      </c>
      <c r="H266" s="1" t="s">
        <v>264</v>
      </c>
      <c r="J266" s="9">
        <f t="shared" si="8"/>
        <v>180.79999999999998</v>
      </c>
      <c r="K266" s="1">
        <v>1300</v>
      </c>
      <c r="L266" s="1" t="s">
        <v>10</v>
      </c>
      <c r="N266" s="1" t="s">
        <v>211</v>
      </c>
      <c r="P266" s="1" t="s">
        <v>234</v>
      </c>
      <c r="S266" s="1">
        <f t="shared" si="9"/>
        <v>180.79999999999998</v>
      </c>
      <c r="T266" s="1">
        <v>56.8</v>
      </c>
    </row>
    <row r="267" spans="1:20" ht="15.75" customHeight="1" x14ac:dyDescent="0.2">
      <c r="A267" s="6">
        <v>267</v>
      </c>
      <c r="C267" s="1">
        <v>55</v>
      </c>
      <c r="D267" s="1">
        <v>8.5</v>
      </c>
      <c r="E267" s="1">
        <v>5.5</v>
      </c>
      <c r="F267" s="1" t="s">
        <v>12</v>
      </c>
      <c r="G267" s="1" t="s">
        <v>183</v>
      </c>
      <c r="H267" s="1" t="s">
        <v>380</v>
      </c>
      <c r="J267" s="9">
        <f t="shared" si="8"/>
        <v>125.7</v>
      </c>
      <c r="K267" s="1">
        <v>1300</v>
      </c>
      <c r="L267" s="1" t="s">
        <v>10</v>
      </c>
      <c r="N267" s="1" t="s">
        <v>219</v>
      </c>
      <c r="P267" s="1" t="s">
        <v>234</v>
      </c>
      <c r="Q267" s="1" t="s">
        <v>42</v>
      </c>
      <c r="R267" s="1" t="s">
        <v>13</v>
      </c>
      <c r="S267" s="1">
        <f t="shared" si="9"/>
        <v>125.7</v>
      </c>
      <c r="T267" s="1">
        <v>39.5</v>
      </c>
    </row>
    <row r="268" spans="1:20" ht="15.75" customHeight="1" x14ac:dyDescent="0.2">
      <c r="A268" s="6">
        <v>268</v>
      </c>
      <c r="C268" s="1">
        <v>55</v>
      </c>
      <c r="D268" s="1">
        <v>3.5</v>
      </c>
      <c r="E268" s="1">
        <v>0.2</v>
      </c>
      <c r="F268" s="1" t="s">
        <v>12</v>
      </c>
      <c r="G268" s="1" t="s">
        <v>183</v>
      </c>
      <c r="H268" s="1" t="s">
        <v>380</v>
      </c>
      <c r="J268" s="9">
        <f t="shared" ref="J268:J331" si="10">S268</f>
        <v>121.6</v>
      </c>
      <c r="K268" s="1">
        <v>1300</v>
      </c>
      <c r="L268" s="1" t="s">
        <v>10</v>
      </c>
      <c r="N268" s="1" t="s">
        <v>219</v>
      </c>
      <c r="P268" s="1" t="s">
        <v>234</v>
      </c>
      <c r="Q268" s="1" t="s">
        <v>42</v>
      </c>
      <c r="R268" s="1" t="s">
        <v>13</v>
      </c>
      <c r="S268" s="1">
        <f t="shared" si="9"/>
        <v>121.6</v>
      </c>
      <c r="T268" s="1">
        <v>38.200000000000003</v>
      </c>
    </row>
    <row r="269" spans="1:20" ht="15.75" customHeight="1" x14ac:dyDescent="0.2">
      <c r="A269" s="6">
        <v>269</v>
      </c>
      <c r="C269" s="1">
        <v>56</v>
      </c>
      <c r="D269" s="1">
        <v>1</v>
      </c>
      <c r="E269" s="1">
        <v>9.9</v>
      </c>
      <c r="F269" s="1" t="s">
        <v>86</v>
      </c>
      <c r="G269" s="1" t="s">
        <v>197</v>
      </c>
      <c r="H269" s="1" t="s">
        <v>250</v>
      </c>
      <c r="J269" s="9">
        <f t="shared" si="10"/>
        <v>164.89999999999998</v>
      </c>
      <c r="K269" s="1">
        <v>1300</v>
      </c>
      <c r="L269" s="1" t="s">
        <v>10</v>
      </c>
      <c r="N269" s="1" t="s">
        <v>218</v>
      </c>
      <c r="P269" s="1" t="s">
        <v>234</v>
      </c>
      <c r="Q269" s="1" t="s">
        <v>128</v>
      </c>
      <c r="S269" s="1">
        <f t="shared" si="9"/>
        <v>164.89999999999998</v>
      </c>
      <c r="T269" s="1">
        <v>51.8</v>
      </c>
    </row>
    <row r="270" spans="1:20" ht="15.75" customHeight="1" x14ac:dyDescent="0.2">
      <c r="A270" s="6">
        <v>270</v>
      </c>
      <c r="C270" s="1">
        <v>56</v>
      </c>
      <c r="D270" s="1">
        <v>4</v>
      </c>
      <c r="E270" s="1">
        <v>8</v>
      </c>
      <c r="F270" s="1" t="s">
        <v>48</v>
      </c>
      <c r="G270" s="1" t="s">
        <v>189</v>
      </c>
      <c r="H270" s="1" t="s">
        <v>49</v>
      </c>
      <c r="J270" s="9">
        <f t="shared" si="10"/>
        <v>142.6</v>
      </c>
      <c r="K270" s="1">
        <v>1300</v>
      </c>
      <c r="L270" s="1" t="s">
        <v>34</v>
      </c>
      <c r="N270" s="1" t="s">
        <v>208</v>
      </c>
      <c r="P270" s="1" t="s">
        <v>234</v>
      </c>
      <c r="R270" s="1" t="s">
        <v>50</v>
      </c>
      <c r="S270" s="1">
        <f t="shared" si="9"/>
        <v>142.6</v>
      </c>
      <c r="T270" s="1">
        <v>44.8</v>
      </c>
    </row>
    <row r="271" spans="1:20" ht="15.75" customHeight="1" x14ac:dyDescent="0.2">
      <c r="A271" s="6">
        <v>271</v>
      </c>
      <c r="C271" s="1">
        <v>56</v>
      </c>
      <c r="D271" s="1">
        <v>4</v>
      </c>
      <c r="E271" s="1">
        <v>4</v>
      </c>
      <c r="F271" s="1" t="s">
        <v>186</v>
      </c>
      <c r="G271" s="1" t="s">
        <v>200</v>
      </c>
      <c r="H271" s="1" t="s">
        <v>255</v>
      </c>
      <c r="J271" s="9">
        <f t="shared" si="10"/>
        <v>295.39999999999998</v>
      </c>
      <c r="K271" s="1">
        <v>1300</v>
      </c>
      <c r="L271" s="1" t="s">
        <v>129</v>
      </c>
      <c r="N271" s="1" t="s">
        <v>228</v>
      </c>
      <c r="P271" s="1" t="s">
        <v>234</v>
      </c>
      <c r="S271" s="1">
        <f t="shared" si="9"/>
        <v>295.39999999999998</v>
      </c>
      <c r="T271" s="1">
        <v>92.8</v>
      </c>
    </row>
    <row r="272" spans="1:20" ht="15.75" customHeight="1" x14ac:dyDescent="0.2">
      <c r="A272" s="6">
        <v>272</v>
      </c>
      <c r="C272" s="1">
        <v>56</v>
      </c>
      <c r="D272" s="1">
        <v>1.8</v>
      </c>
      <c r="E272" s="1">
        <v>3</v>
      </c>
      <c r="F272" s="1" t="s">
        <v>186</v>
      </c>
      <c r="G272" s="1" t="s">
        <v>200</v>
      </c>
      <c r="H272" s="1" t="s">
        <v>255</v>
      </c>
      <c r="J272" s="9">
        <f t="shared" si="10"/>
        <v>414.79999999999995</v>
      </c>
      <c r="K272" s="1">
        <v>1300</v>
      </c>
      <c r="L272" s="1" t="s">
        <v>34</v>
      </c>
      <c r="N272" s="1" t="s">
        <v>228</v>
      </c>
      <c r="P272" s="1" t="s">
        <v>234</v>
      </c>
      <c r="S272" s="1">
        <f t="shared" si="9"/>
        <v>414.79999999999995</v>
      </c>
      <c r="T272" s="1">
        <v>130.30000000000001</v>
      </c>
    </row>
    <row r="273" spans="1:20" ht="15.75" customHeight="1" x14ac:dyDescent="0.2">
      <c r="A273" s="6">
        <v>273</v>
      </c>
      <c r="C273" s="1">
        <v>56</v>
      </c>
      <c r="D273" s="1">
        <v>7.5</v>
      </c>
      <c r="E273" s="1">
        <v>2</v>
      </c>
      <c r="F273" s="1" t="s">
        <v>12</v>
      </c>
      <c r="G273" s="1" t="s">
        <v>183</v>
      </c>
      <c r="H273" s="1" t="s">
        <v>380</v>
      </c>
      <c r="J273" s="9">
        <f t="shared" si="10"/>
        <v>118.69999999999999</v>
      </c>
      <c r="K273" s="1">
        <v>1300</v>
      </c>
      <c r="L273" s="1" t="s">
        <v>10</v>
      </c>
      <c r="N273" s="1" t="s">
        <v>219</v>
      </c>
      <c r="P273" s="1" t="s">
        <v>234</v>
      </c>
      <c r="Q273" s="1" t="s">
        <v>42</v>
      </c>
      <c r="R273" s="1" t="s">
        <v>13</v>
      </c>
      <c r="S273" s="1">
        <f t="shared" si="9"/>
        <v>118.69999999999999</v>
      </c>
      <c r="T273" s="1">
        <v>37.299999999999997</v>
      </c>
    </row>
    <row r="274" spans="1:20" ht="15.75" customHeight="1" x14ac:dyDescent="0.2">
      <c r="A274" s="6">
        <v>274</v>
      </c>
      <c r="C274" s="1">
        <v>57</v>
      </c>
      <c r="D274" s="1">
        <v>3</v>
      </c>
      <c r="E274" s="1">
        <v>8.5</v>
      </c>
      <c r="F274" s="1" t="s">
        <v>12</v>
      </c>
      <c r="G274" s="1" t="s">
        <v>183</v>
      </c>
      <c r="H274" s="1" t="s">
        <v>380</v>
      </c>
      <c r="J274" s="9">
        <f t="shared" si="10"/>
        <v>161.1</v>
      </c>
      <c r="K274" s="1">
        <v>1300</v>
      </c>
      <c r="L274" s="1" t="s">
        <v>10</v>
      </c>
      <c r="N274" s="1" t="s">
        <v>219</v>
      </c>
      <c r="P274" s="1" t="s">
        <v>234</v>
      </c>
      <c r="Q274" s="1" t="s">
        <v>42</v>
      </c>
      <c r="R274" s="1" t="s">
        <v>13</v>
      </c>
      <c r="S274" s="1">
        <f t="shared" si="9"/>
        <v>161.1</v>
      </c>
      <c r="T274" s="1">
        <v>50.6</v>
      </c>
    </row>
    <row r="275" spans="1:20" ht="15.75" customHeight="1" x14ac:dyDescent="0.2">
      <c r="A275" s="6">
        <v>275</v>
      </c>
      <c r="C275" s="1">
        <v>57</v>
      </c>
      <c r="D275" s="1">
        <v>4</v>
      </c>
      <c r="E275" s="1">
        <v>6</v>
      </c>
      <c r="F275" s="1" t="s">
        <v>86</v>
      </c>
      <c r="G275" s="1" t="s">
        <v>16</v>
      </c>
      <c r="H275" s="1" t="s">
        <v>17</v>
      </c>
      <c r="J275" s="9">
        <f t="shared" si="10"/>
        <v>189.4</v>
      </c>
      <c r="K275" s="1">
        <v>1300</v>
      </c>
      <c r="L275" s="1" t="s">
        <v>10</v>
      </c>
      <c r="N275" s="14" t="s">
        <v>325</v>
      </c>
      <c r="P275" s="1" t="s">
        <v>234</v>
      </c>
      <c r="S275" s="1">
        <f t="shared" si="9"/>
        <v>189.4</v>
      </c>
      <c r="T275" s="1">
        <v>59.5</v>
      </c>
    </row>
    <row r="276" spans="1:20" ht="15.75" customHeight="1" x14ac:dyDescent="0.2">
      <c r="A276" s="6">
        <v>276</v>
      </c>
      <c r="C276" s="1">
        <v>58</v>
      </c>
      <c r="D276" s="1">
        <v>6</v>
      </c>
      <c r="E276" s="1">
        <v>5</v>
      </c>
      <c r="F276" s="1" t="s">
        <v>12</v>
      </c>
      <c r="G276" s="1" t="s">
        <v>183</v>
      </c>
      <c r="H276" s="1" t="s">
        <v>380</v>
      </c>
      <c r="J276" s="9">
        <f t="shared" si="10"/>
        <v>123.5</v>
      </c>
      <c r="K276" s="1">
        <v>1300</v>
      </c>
      <c r="L276" s="1" t="s">
        <v>10</v>
      </c>
      <c r="N276" s="1" t="s">
        <v>219</v>
      </c>
      <c r="P276" s="1" t="s">
        <v>234</v>
      </c>
      <c r="Q276" s="1" t="s">
        <v>42</v>
      </c>
      <c r="R276" s="1" t="s">
        <v>13</v>
      </c>
      <c r="S276" s="1">
        <f t="shared" si="9"/>
        <v>123.5</v>
      </c>
      <c r="T276" s="1">
        <v>38.799999999999997</v>
      </c>
    </row>
    <row r="277" spans="1:20" ht="15.75" customHeight="1" x14ac:dyDescent="0.2">
      <c r="A277" s="6">
        <v>277</v>
      </c>
      <c r="C277" s="1">
        <v>58</v>
      </c>
      <c r="D277" s="1">
        <v>6</v>
      </c>
      <c r="E277" s="1">
        <v>9</v>
      </c>
      <c r="F277" s="1" t="s">
        <v>22</v>
      </c>
      <c r="G277" s="1" t="s">
        <v>130</v>
      </c>
      <c r="H277" s="1" t="s">
        <v>179</v>
      </c>
      <c r="J277" s="9">
        <f t="shared" si="10"/>
        <v>569.79999999999995</v>
      </c>
      <c r="K277" s="1">
        <v>1300</v>
      </c>
      <c r="L277" s="1" t="s">
        <v>10</v>
      </c>
      <c r="N277" s="14" t="s">
        <v>301</v>
      </c>
      <c r="P277" s="1" t="s">
        <v>234</v>
      </c>
      <c r="Q277" s="1" t="s">
        <v>26</v>
      </c>
      <c r="S277" s="1">
        <f t="shared" si="9"/>
        <v>569.79999999999995</v>
      </c>
      <c r="T277" s="1">
        <v>179</v>
      </c>
    </row>
    <row r="278" spans="1:20" ht="15.75" customHeight="1" x14ac:dyDescent="0.2">
      <c r="A278" s="6">
        <v>278</v>
      </c>
      <c r="C278" s="1">
        <v>58</v>
      </c>
      <c r="D278" s="1">
        <v>6.5</v>
      </c>
      <c r="E278" s="1">
        <v>4</v>
      </c>
      <c r="F278" s="1" t="s">
        <v>12</v>
      </c>
      <c r="G278" s="1" t="s">
        <v>183</v>
      </c>
      <c r="H278" s="1" t="s">
        <v>380</v>
      </c>
      <c r="J278" s="9">
        <f t="shared" si="10"/>
        <v>111.4</v>
      </c>
      <c r="K278" s="1">
        <v>1300</v>
      </c>
      <c r="L278" s="1" t="s">
        <v>10</v>
      </c>
      <c r="N278" s="1" t="s">
        <v>219</v>
      </c>
      <c r="P278" s="1" t="s">
        <v>234</v>
      </c>
      <c r="Q278" s="1" t="s">
        <v>42</v>
      </c>
      <c r="R278" s="1" t="s">
        <v>13</v>
      </c>
      <c r="S278" s="1">
        <f t="shared" si="9"/>
        <v>111.4</v>
      </c>
      <c r="T278" s="1">
        <v>35</v>
      </c>
    </row>
    <row r="279" spans="1:20" ht="15.75" customHeight="1" x14ac:dyDescent="0.2">
      <c r="A279" s="6">
        <v>279</v>
      </c>
      <c r="C279" s="1">
        <v>58</v>
      </c>
      <c r="D279" s="1">
        <v>5.5</v>
      </c>
      <c r="E279" s="1">
        <v>0.1</v>
      </c>
      <c r="F279" s="1" t="s">
        <v>12</v>
      </c>
      <c r="G279" s="1" t="s">
        <v>183</v>
      </c>
      <c r="H279" s="1" t="s">
        <v>380</v>
      </c>
      <c r="J279" s="9">
        <f t="shared" si="10"/>
        <v>213.6</v>
      </c>
      <c r="K279" s="1">
        <v>1300</v>
      </c>
      <c r="L279" s="1" t="s">
        <v>10</v>
      </c>
      <c r="N279" s="1" t="s">
        <v>219</v>
      </c>
      <c r="P279" s="1" t="s">
        <v>234</v>
      </c>
      <c r="Q279" s="1" t="s">
        <v>42</v>
      </c>
      <c r="R279" s="1" t="s">
        <v>13</v>
      </c>
      <c r="S279" s="1">
        <f t="shared" si="9"/>
        <v>213.6</v>
      </c>
      <c r="T279" s="1">
        <v>67.099999999999994</v>
      </c>
    </row>
    <row r="280" spans="1:20" ht="15.75" customHeight="1" x14ac:dyDescent="0.2">
      <c r="A280" s="6">
        <v>280</v>
      </c>
      <c r="C280" s="1">
        <v>59</v>
      </c>
      <c r="D280" s="1">
        <v>1</v>
      </c>
      <c r="E280" s="1">
        <v>9.9</v>
      </c>
      <c r="F280" s="1" t="s">
        <v>20</v>
      </c>
      <c r="G280" s="1" t="s">
        <v>405</v>
      </c>
      <c r="H280" s="1" t="s">
        <v>47</v>
      </c>
      <c r="J280" s="9">
        <f t="shared" si="10"/>
        <v>238.4</v>
      </c>
      <c r="K280" s="1">
        <v>1300</v>
      </c>
      <c r="L280" s="1" t="s">
        <v>34</v>
      </c>
      <c r="S280" s="1">
        <f t="shared" si="9"/>
        <v>238.4</v>
      </c>
      <c r="T280" s="1">
        <v>74.900000000000006</v>
      </c>
    </row>
    <row r="281" spans="1:20" ht="15.75" customHeight="1" x14ac:dyDescent="0.2">
      <c r="A281" s="6">
        <v>281</v>
      </c>
      <c r="C281" s="1">
        <v>59</v>
      </c>
      <c r="D281" s="1">
        <v>1.5</v>
      </c>
      <c r="E281" s="1">
        <v>8</v>
      </c>
      <c r="F281" s="1" t="s">
        <v>12</v>
      </c>
      <c r="G281" s="1" t="s">
        <v>183</v>
      </c>
      <c r="H281" s="1" t="s">
        <v>380</v>
      </c>
      <c r="J281" s="9">
        <f t="shared" si="10"/>
        <v>105</v>
      </c>
      <c r="K281" s="1">
        <v>1300</v>
      </c>
      <c r="L281" s="1" t="s">
        <v>10</v>
      </c>
      <c r="N281" s="1" t="s">
        <v>219</v>
      </c>
      <c r="P281" s="1" t="s">
        <v>234</v>
      </c>
      <c r="Q281" s="1" t="s">
        <v>42</v>
      </c>
      <c r="R281" s="1" t="s">
        <v>13</v>
      </c>
      <c r="S281" s="1">
        <f t="shared" si="9"/>
        <v>105</v>
      </c>
      <c r="T281" s="1">
        <v>33</v>
      </c>
    </row>
    <row r="282" spans="1:20" ht="15.75" customHeight="1" x14ac:dyDescent="0.2">
      <c r="A282" s="6">
        <v>282</v>
      </c>
      <c r="C282" s="1">
        <v>59</v>
      </c>
      <c r="D282" s="1">
        <v>5</v>
      </c>
      <c r="E282" s="1">
        <v>6.5</v>
      </c>
      <c r="F282" s="1" t="s">
        <v>48</v>
      </c>
      <c r="G282" s="1" t="s">
        <v>190</v>
      </c>
      <c r="H282" s="1" t="s">
        <v>249</v>
      </c>
      <c r="J282" s="9">
        <f t="shared" si="10"/>
        <v>106.6</v>
      </c>
      <c r="K282" s="1">
        <v>1300</v>
      </c>
      <c r="L282" s="1" t="s">
        <v>10</v>
      </c>
      <c r="N282" s="1" t="s">
        <v>212</v>
      </c>
      <c r="P282" s="1" t="s">
        <v>234</v>
      </c>
      <c r="S282" s="1">
        <f t="shared" si="9"/>
        <v>106.6</v>
      </c>
      <c r="T282" s="1">
        <v>33.5</v>
      </c>
    </row>
    <row r="283" spans="1:20" ht="15.75" customHeight="1" x14ac:dyDescent="0.2">
      <c r="A283" s="6">
        <v>283</v>
      </c>
      <c r="C283" s="1">
        <v>59</v>
      </c>
      <c r="D283" s="1">
        <v>1.5</v>
      </c>
      <c r="E283" s="1">
        <v>6.5</v>
      </c>
      <c r="F283" s="1" t="s">
        <v>86</v>
      </c>
      <c r="G283" s="1" t="s">
        <v>197</v>
      </c>
      <c r="H283" s="1" t="s">
        <v>250</v>
      </c>
      <c r="J283" s="9">
        <f t="shared" si="10"/>
        <v>459</v>
      </c>
      <c r="K283" s="1">
        <v>1300</v>
      </c>
      <c r="L283" s="1" t="s">
        <v>71</v>
      </c>
      <c r="N283" s="1" t="s">
        <v>218</v>
      </c>
      <c r="P283" s="1" t="s">
        <v>234</v>
      </c>
      <c r="S283" s="1">
        <f t="shared" si="9"/>
        <v>459</v>
      </c>
      <c r="T283" s="1">
        <v>144.19999999999999</v>
      </c>
    </row>
    <row r="284" spans="1:20" ht="15.75" customHeight="1" x14ac:dyDescent="0.2">
      <c r="A284" s="6">
        <v>284</v>
      </c>
      <c r="C284" s="1">
        <v>59</v>
      </c>
      <c r="D284" s="1">
        <v>1.3</v>
      </c>
      <c r="E284" s="1">
        <v>0.2</v>
      </c>
      <c r="F284" s="1" t="s">
        <v>131</v>
      </c>
      <c r="G284" s="1" t="s">
        <v>132</v>
      </c>
      <c r="H284" s="1" t="s">
        <v>133</v>
      </c>
      <c r="J284" s="9">
        <f t="shared" si="10"/>
        <v>121.30000000000001</v>
      </c>
      <c r="K284" s="1">
        <v>1300</v>
      </c>
      <c r="L284" s="1" t="s">
        <v>34</v>
      </c>
      <c r="N284" s="14" t="s">
        <v>302</v>
      </c>
      <c r="P284" s="1" t="s">
        <v>32</v>
      </c>
      <c r="S284" s="1">
        <f t="shared" si="9"/>
        <v>121.30000000000001</v>
      </c>
      <c r="T284" s="1">
        <v>38.1</v>
      </c>
    </row>
    <row r="285" spans="1:20" ht="15.75" customHeight="1" x14ac:dyDescent="0.2">
      <c r="A285" s="6">
        <v>285</v>
      </c>
      <c r="C285" s="1">
        <v>59</v>
      </c>
      <c r="D285" s="1">
        <v>3</v>
      </c>
      <c r="E285" s="1">
        <v>0.2</v>
      </c>
      <c r="F285" s="1" t="s">
        <v>20</v>
      </c>
      <c r="G285" s="1" t="s">
        <v>405</v>
      </c>
      <c r="H285" s="1" t="s">
        <v>47</v>
      </c>
      <c r="J285" s="9">
        <f t="shared" si="10"/>
        <v>255.3</v>
      </c>
      <c r="K285" s="1">
        <v>1300</v>
      </c>
      <c r="L285" s="1" t="s">
        <v>10</v>
      </c>
      <c r="S285" s="1">
        <f t="shared" si="9"/>
        <v>255.3</v>
      </c>
      <c r="T285" s="1">
        <v>80.2</v>
      </c>
    </row>
    <row r="286" spans="1:20" ht="15.75" customHeight="1" x14ac:dyDescent="0.2">
      <c r="A286" s="6">
        <v>286</v>
      </c>
      <c r="C286" s="1">
        <v>59</v>
      </c>
      <c r="D286" s="1">
        <v>9.8000000000000007</v>
      </c>
      <c r="E286" s="1">
        <v>1</v>
      </c>
      <c r="F286" s="1" t="s">
        <v>12</v>
      </c>
      <c r="G286" s="1" t="s">
        <v>183</v>
      </c>
      <c r="H286" s="1" t="s">
        <v>380</v>
      </c>
      <c r="J286" s="9">
        <f t="shared" si="10"/>
        <v>156.9</v>
      </c>
      <c r="K286" s="1">
        <v>1300</v>
      </c>
      <c r="L286" s="1" t="s">
        <v>10</v>
      </c>
      <c r="N286" s="1" t="s">
        <v>219</v>
      </c>
      <c r="P286" s="1" t="s">
        <v>234</v>
      </c>
      <c r="Q286" s="1" t="s">
        <v>42</v>
      </c>
      <c r="R286" s="1" t="s">
        <v>13</v>
      </c>
      <c r="S286" s="1">
        <f t="shared" si="9"/>
        <v>156.9</v>
      </c>
      <c r="T286" s="1">
        <v>49.3</v>
      </c>
    </row>
    <row r="287" spans="1:20" ht="15.75" customHeight="1" x14ac:dyDescent="0.2">
      <c r="A287" s="6">
        <v>287</v>
      </c>
      <c r="C287" s="1">
        <v>60</v>
      </c>
      <c r="D287" s="1">
        <v>9.9</v>
      </c>
      <c r="E287" s="1">
        <v>7</v>
      </c>
      <c r="F287" s="1" t="s">
        <v>48</v>
      </c>
      <c r="G287" s="1" t="s">
        <v>189</v>
      </c>
      <c r="H287" s="1" t="s">
        <v>49</v>
      </c>
      <c r="J287" s="9">
        <f t="shared" si="10"/>
        <v>128.6</v>
      </c>
      <c r="K287" s="1">
        <v>1300</v>
      </c>
      <c r="L287" s="1" t="s">
        <v>10</v>
      </c>
      <c r="N287" s="1" t="s">
        <v>208</v>
      </c>
      <c r="P287" s="1" t="s">
        <v>234</v>
      </c>
      <c r="R287" s="1" t="s">
        <v>50</v>
      </c>
      <c r="S287" s="1">
        <f t="shared" si="9"/>
        <v>128.6</v>
      </c>
      <c r="T287" s="1">
        <v>40.4</v>
      </c>
    </row>
    <row r="288" spans="1:20" ht="15.75" customHeight="1" x14ac:dyDescent="0.2">
      <c r="A288" s="6">
        <v>288</v>
      </c>
      <c r="C288" s="1">
        <v>60</v>
      </c>
      <c r="D288" s="1">
        <v>3.5</v>
      </c>
      <c r="E288" s="1">
        <v>6.5</v>
      </c>
      <c r="F288" s="1" t="s">
        <v>20</v>
      </c>
      <c r="G288" s="1" t="s">
        <v>405</v>
      </c>
      <c r="H288" s="1" t="s">
        <v>47</v>
      </c>
      <c r="J288" s="9">
        <f t="shared" si="10"/>
        <v>278.2</v>
      </c>
      <c r="K288" s="1">
        <v>1300</v>
      </c>
      <c r="L288" s="1" t="s">
        <v>10</v>
      </c>
      <c r="S288" s="1">
        <f t="shared" si="9"/>
        <v>278.2</v>
      </c>
      <c r="T288" s="1">
        <v>87.4</v>
      </c>
    </row>
    <row r="289" spans="1:20" ht="15.75" customHeight="1" x14ac:dyDescent="0.2">
      <c r="A289" s="6">
        <v>289</v>
      </c>
      <c r="C289" s="1">
        <v>60</v>
      </c>
      <c r="D289" s="1">
        <v>7.5</v>
      </c>
      <c r="E289" s="1">
        <v>4</v>
      </c>
      <c r="F289" s="1" t="s">
        <v>48</v>
      </c>
      <c r="G289" s="1" t="s">
        <v>189</v>
      </c>
      <c r="H289" s="1" t="s">
        <v>49</v>
      </c>
      <c r="J289" s="9">
        <f t="shared" si="10"/>
        <v>128.6</v>
      </c>
      <c r="K289" s="1">
        <v>1300</v>
      </c>
      <c r="L289" s="1" t="s">
        <v>10</v>
      </c>
      <c r="N289" s="1" t="s">
        <v>208</v>
      </c>
      <c r="P289" s="1" t="s">
        <v>234</v>
      </c>
      <c r="R289" s="1" t="s">
        <v>50</v>
      </c>
      <c r="S289" s="1">
        <f t="shared" si="9"/>
        <v>128.6</v>
      </c>
      <c r="T289" s="1">
        <v>40.4</v>
      </c>
    </row>
    <row r="290" spans="1:20" ht="15.75" customHeight="1" x14ac:dyDescent="0.2">
      <c r="A290" s="6">
        <v>290</v>
      </c>
      <c r="C290" s="1">
        <v>60</v>
      </c>
      <c r="D290" s="1">
        <v>8.5</v>
      </c>
      <c r="E290" s="1">
        <v>1.8</v>
      </c>
      <c r="F290" s="1" t="s">
        <v>48</v>
      </c>
      <c r="G290" s="1" t="s">
        <v>189</v>
      </c>
      <c r="H290" s="1" t="s">
        <v>49</v>
      </c>
      <c r="J290" s="9">
        <f t="shared" si="10"/>
        <v>121.89999999999999</v>
      </c>
      <c r="K290" s="1">
        <v>1300</v>
      </c>
      <c r="L290" s="1" t="s">
        <v>10</v>
      </c>
      <c r="N290" s="1" t="s">
        <v>208</v>
      </c>
      <c r="P290" s="1" t="s">
        <v>234</v>
      </c>
      <c r="R290" s="1" t="s">
        <v>50</v>
      </c>
      <c r="S290" s="1">
        <f t="shared" si="9"/>
        <v>121.89999999999999</v>
      </c>
      <c r="T290" s="1">
        <v>38.299999999999997</v>
      </c>
    </row>
    <row r="291" spans="1:20" ht="15.75" customHeight="1" x14ac:dyDescent="0.2">
      <c r="A291" s="6">
        <v>291</v>
      </c>
      <c r="C291" s="1">
        <v>61</v>
      </c>
      <c r="D291" s="1">
        <v>4</v>
      </c>
      <c r="E291" s="1">
        <v>1</v>
      </c>
      <c r="F291" s="1" t="s">
        <v>12</v>
      </c>
      <c r="G291" s="1" t="s">
        <v>183</v>
      </c>
      <c r="H291" s="1" t="s">
        <v>380</v>
      </c>
      <c r="J291" s="9">
        <f t="shared" si="10"/>
        <v>128.6</v>
      </c>
      <c r="K291" s="1">
        <v>1300</v>
      </c>
      <c r="L291" s="1" t="s">
        <v>10</v>
      </c>
      <c r="N291" s="1" t="s">
        <v>219</v>
      </c>
      <c r="P291" s="1" t="s">
        <v>234</v>
      </c>
      <c r="Q291" s="1" t="s">
        <v>42</v>
      </c>
      <c r="R291" s="1" t="s">
        <v>13</v>
      </c>
      <c r="S291" s="1">
        <f t="shared" si="9"/>
        <v>128.6</v>
      </c>
      <c r="T291" s="1">
        <v>40.4</v>
      </c>
    </row>
    <row r="292" spans="1:20" ht="15.75" customHeight="1" x14ac:dyDescent="0.2">
      <c r="A292" s="6">
        <v>292</v>
      </c>
      <c r="C292" s="1">
        <v>61</v>
      </c>
      <c r="D292" s="1">
        <v>9</v>
      </c>
      <c r="E292" s="1">
        <v>3.5</v>
      </c>
      <c r="F292" s="1" t="s">
        <v>12</v>
      </c>
      <c r="G292" s="1" t="s">
        <v>183</v>
      </c>
      <c r="H292" s="1" t="s">
        <v>380</v>
      </c>
      <c r="J292" s="9">
        <f t="shared" si="10"/>
        <v>102.8</v>
      </c>
      <c r="K292" s="1">
        <v>1300</v>
      </c>
      <c r="L292" s="1" t="s">
        <v>10</v>
      </c>
      <c r="N292" s="1" t="s">
        <v>219</v>
      </c>
      <c r="P292" s="1" t="s">
        <v>234</v>
      </c>
      <c r="Q292" s="1" t="s">
        <v>42</v>
      </c>
      <c r="R292" s="1" t="s">
        <v>13</v>
      </c>
      <c r="S292" s="1">
        <f t="shared" si="9"/>
        <v>102.8</v>
      </c>
      <c r="T292" s="1">
        <v>32.299999999999997</v>
      </c>
    </row>
    <row r="293" spans="1:20" ht="15.75" customHeight="1" x14ac:dyDescent="0.2">
      <c r="A293" s="6">
        <v>293</v>
      </c>
      <c r="C293" s="1">
        <v>61</v>
      </c>
      <c r="D293" s="1">
        <v>5</v>
      </c>
      <c r="E293" s="1">
        <v>4.5</v>
      </c>
      <c r="F293" s="1" t="s">
        <v>20</v>
      </c>
      <c r="G293" s="1" t="s">
        <v>134</v>
      </c>
      <c r="H293" s="1" t="s">
        <v>375</v>
      </c>
      <c r="J293" s="9">
        <f t="shared" si="10"/>
        <v>231.70000000000002</v>
      </c>
      <c r="K293" s="1">
        <v>1300</v>
      </c>
      <c r="L293" s="1" t="s">
        <v>34</v>
      </c>
      <c r="S293" s="1">
        <f t="shared" si="9"/>
        <v>231.70000000000002</v>
      </c>
      <c r="T293" s="1">
        <v>72.8</v>
      </c>
    </row>
    <row r="294" spans="1:20" ht="15.75" customHeight="1" x14ac:dyDescent="0.2">
      <c r="A294" s="6">
        <v>294</v>
      </c>
      <c r="C294" s="1">
        <v>61</v>
      </c>
      <c r="D294" s="1">
        <v>9.9</v>
      </c>
      <c r="E294" s="1">
        <v>4.5</v>
      </c>
      <c r="F294" s="1" t="s">
        <v>12</v>
      </c>
      <c r="G294" s="1" t="s">
        <v>183</v>
      </c>
      <c r="H294" s="1" t="s">
        <v>380</v>
      </c>
      <c r="J294" s="9">
        <f t="shared" si="10"/>
        <v>115.9</v>
      </c>
      <c r="K294" s="1">
        <v>1300</v>
      </c>
      <c r="L294" s="1" t="s">
        <v>10</v>
      </c>
      <c r="N294" s="1" t="s">
        <v>219</v>
      </c>
      <c r="P294" s="1" t="s">
        <v>234</v>
      </c>
      <c r="Q294" s="1" t="s">
        <v>42</v>
      </c>
      <c r="R294" s="1" t="s">
        <v>13</v>
      </c>
      <c r="S294" s="1">
        <f t="shared" si="9"/>
        <v>115.9</v>
      </c>
      <c r="T294" s="1">
        <v>36.4</v>
      </c>
    </row>
    <row r="295" spans="1:20" ht="15.75" customHeight="1" x14ac:dyDescent="0.2">
      <c r="A295" s="6">
        <v>295</v>
      </c>
      <c r="C295" s="1">
        <v>61</v>
      </c>
      <c r="D295" s="1">
        <v>6.5</v>
      </c>
      <c r="E295" s="1">
        <v>8</v>
      </c>
      <c r="F295" s="1" t="s">
        <v>20</v>
      </c>
      <c r="G295" s="1" t="s">
        <v>405</v>
      </c>
      <c r="H295" s="13" t="s">
        <v>47</v>
      </c>
      <c r="J295" s="9">
        <f t="shared" si="10"/>
        <v>431.59999999999997</v>
      </c>
      <c r="K295" s="1">
        <v>1300</v>
      </c>
      <c r="L295" s="1" t="s">
        <v>10</v>
      </c>
      <c r="S295" s="1">
        <f t="shared" si="9"/>
        <v>431.59999999999997</v>
      </c>
      <c r="T295" s="1">
        <v>135.6</v>
      </c>
    </row>
    <row r="296" spans="1:20" ht="15.75" customHeight="1" x14ac:dyDescent="0.2">
      <c r="A296" s="6">
        <v>296</v>
      </c>
      <c r="C296" s="1">
        <v>62</v>
      </c>
      <c r="D296" s="1">
        <v>1</v>
      </c>
      <c r="E296" s="1">
        <v>2.5</v>
      </c>
      <c r="F296" s="1" t="s">
        <v>54</v>
      </c>
      <c r="G296" s="1" t="s">
        <v>274</v>
      </c>
      <c r="H296" s="1" t="s">
        <v>37</v>
      </c>
      <c r="J296" s="9">
        <f t="shared" si="10"/>
        <v>223.5</v>
      </c>
      <c r="K296" s="1">
        <v>1300</v>
      </c>
      <c r="L296" s="1" t="s">
        <v>10</v>
      </c>
      <c r="N296" s="14" t="s">
        <v>286</v>
      </c>
      <c r="P296" s="1" t="s">
        <v>234</v>
      </c>
      <c r="Q296" s="1" t="s">
        <v>367</v>
      </c>
      <c r="S296" s="1">
        <f t="shared" si="9"/>
        <v>223.5</v>
      </c>
      <c r="T296" s="1">
        <v>70.2</v>
      </c>
    </row>
    <row r="297" spans="1:20" ht="15.75" customHeight="1" x14ac:dyDescent="0.2">
      <c r="A297" s="6">
        <v>297</v>
      </c>
      <c r="C297" s="1">
        <v>62</v>
      </c>
      <c r="D297" s="1">
        <v>6.5</v>
      </c>
      <c r="E297" s="1">
        <v>4</v>
      </c>
      <c r="F297" s="1" t="s">
        <v>12</v>
      </c>
      <c r="G297" s="1" t="s">
        <v>183</v>
      </c>
      <c r="H297" s="1" t="s">
        <v>380</v>
      </c>
      <c r="J297" s="9">
        <f t="shared" si="10"/>
        <v>104.7</v>
      </c>
      <c r="K297" s="1">
        <v>1300</v>
      </c>
      <c r="L297" s="1" t="s">
        <v>19</v>
      </c>
      <c r="N297" s="1" t="s">
        <v>219</v>
      </c>
      <c r="P297" s="1" t="s">
        <v>234</v>
      </c>
      <c r="Q297" s="1" t="s">
        <v>42</v>
      </c>
      <c r="R297" s="1" t="s">
        <v>13</v>
      </c>
      <c r="S297" s="1">
        <f t="shared" si="9"/>
        <v>104.7</v>
      </c>
      <c r="T297" s="1">
        <v>32.9</v>
      </c>
    </row>
    <row r="298" spans="1:20" ht="15.75" customHeight="1" x14ac:dyDescent="0.2">
      <c r="A298" s="6">
        <v>298</v>
      </c>
      <c r="C298" s="1">
        <v>62</v>
      </c>
      <c r="D298" s="1">
        <v>8</v>
      </c>
      <c r="E298" s="1">
        <v>5</v>
      </c>
      <c r="F298" s="1" t="s">
        <v>22</v>
      </c>
      <c r="G298" s="1" t="s">
        <v>193</v>
      </c>
      <c r="H298" s="1" t="s">
        <v>261</v>
      </c>
      <c r="J298" s="9">
        <f t="shared" si="10"/>
        <v>103.80000000000001</v>
      </c>
      <c r="K298" s="1">
        <v>1300</v>
      </c>
      <c r="L298" s="1" t="s">
        <v>10</v>
      </c>
      <c r="N298" s="1" t="s">
        <v>224</v>
      </c>
      <c r="P298" s="1" t="s">
        <v>234</v>
      </c>
      <c r="Q298" s="1" t="s">
        <v>26</v>
      </c>
      <c r="S298" s="1">
        <f t="shared" si="9"/>
        <v>103.80000000000001</v>
      </c>
      <c r="T298" s="1">
        <v>32.6</v>
      </c>
    </row>
    <row r="299" spans="1:20" ht="15.75" customHeight="1" x14ac:dyDescent="0.2">
      <c r="A299" s="6">
        <v>299</v>
      </c>
      <c r="B299" s="1">
        <v>299</v>
      </c>
      <c r="C299" s="1">
        <v>62</v>
      </c>
      <c r="D299" s="1">
        <v>5</v>
      </c>
      <c r="E299" s="1">
        <v>6</v>
      </c>
      <c r="F299" s="1" t="s">
        <v>48</v>
      </c>
      <c r="G299" s="1" t="s">
        <v>189</v>
      </c>
      <c r="H299" s="1" t="s">
        <v>49</v>
      </c>
      <c r="J299" s="9">
        <f t="shared" si="10"/>
        <v>128.9</v>
      </c>
      <c r="K299" s="1">
        <v>1300</v>
      </c>
      <c r="L299" s="1" t="s">
        <v>10</v>
      </c>
      <c r="N299" s="1" t="s">
        <v>208</v>
      </c>
      <c r="P299" s="1" t="s">
        <v>234</v>
      </c>
      <c r="R299" s="1" t="s">
        <v>50</v>
      </c>
      <c r="S299" s="1">
        <f t="shared" si="9"/>
        <v>128.9</v>
      </c>
      <c r="T299" s="1">
        <v>40.5</v>
      </c>
    </row>
    <row r="300" spans="1:20" ht="15.75" customHeight="1" x14ac:dyDescent="0.2">
      <c r="A300" s="6">
        <v>300</v>
      </c>
      <c r="B300" s="1">
        <v>299</v>
      </c>
      <c r="C300" s="1">
        <v>62</v>
      </c>
      <c r="D300" s="1">
        <v>5</v>
      </c>
      <c r="E300" s="1">
        <v>6</v>
      </c>
      <c r="F300" s="1" t="s">
        <v>48</v>
      </c>
      <c r="G300" s="1" t="s">
        <v>189</v>
      </c>
      <c r="H300" s="1" t="s">
        <v>49</v>
      </c>
      <c r="J300" s="9">
        <f t="shared" si="10"/>
        <v>117.5</v>
      </c>
      <c r="K300" s="1">
        <v>1300</v>
      </c>
      <c r="L300" s="1" t="s">
        <v>10</v>
      </c>
      <c r="N300" s="1" t="s">
        <v>208</v>
      </c>
      <c r="P300" s="1" t="s">
        <v>234</v>
      </c>
      <c r="R300" s="1" t="s">
        <v>50</v>
      </c>
      <c r="S300" s="1">
        <f t="shared" si="9"/>
        <v>117.5</v>
      </c>
      <c r="T300" s="1">
        <v>36.9</v>
      </c>
    </row>
    <row r="301" spans="1:20" ht="15.75" customHeight="1" x14ac:dyDescent="0.2">
      <c r="A301" s="6">
        <v>301</v>
      </c>
      <c r="C301" s="1">
        <v>62</v>
      </c>
      <c r="D301" s="1">
        <v>0.1</v>
      </c>
      <c r="E301" s="1">
        <v>5</v>
      </c>
      <c r="F301" s="1" t="s">
        <v>48</v>
      </c>
      <c r="G301" s="1" t="s">
        <v>190</v>
      </c>
      <c r="H301" s="1" t="s">
        <v>249</v>
      </c>
      <c r="J301" s="9">
        <f t="shared" si="10"/>
        <v>112.69999999999999</v>
      </c>
      <c r="K301" s="1">
        <v>1300</v>
      </c>
      <c r="L301" s="1" t="s">
        <v>55</v>
      </c>
      <c r="N301" s="1" t="s">
        <v>212</v>
      </c>
      <c r="P301" s="1" t="s">
        <v>234</v>
      </c>
      <c r="S301" s="1">
        <f t="shared" si="9"/>
        <v>112.69999999999999</v>
      </c>
      <c r="T301" s="1">
        <v>35.4</v>
      </c>
    </row>
    <row r="302" spans="1:20" ht="15.75" customHeight="1" x14ac:dyDescent="0.2">
      <c r="A302" s="6">
        <v>302</v>
      </c>
      <c r="C302" s="1">
        <v>62</v>
      </c>
      <c r="D302" s="1">
        <v>2</v>
      </c>
      <c r="E302" s="1">
        <v>6.5</v>
      </c>
      <c r="F302" s="1" t="s">
        <v>12</v>
      </c>
      <c r="G302" s="1" t="s">
        <v>183</v>
      </c>
      <c r="H302" s="1" t="s">
        <v>380</v>
      </c>
      <c r="J302" s="9">
        <f t="shared" si="10"/>
        <v>167.39999999999998</v>
      </c>
      <c r="K302" s="1">
        <v>1300</v>
      </c>
      <c r="L302" s="1" t="s">
        <v>10</v>
      </c>
      <c r="N302" s="1" t="s">
        <v>219</v>
      </c>
      <c r="P302" s="1" t="s">
        <v>234</v>
      </c>
      <c r="Q302" s="1" t="s">
        <v>42</v>
      </c>
      <c r="R302" s="1" t="s">
        <v>13</v>
      </c>
      <c r="S302" s="1">
        <f t="shared" si="9"/>
        <v>167.39999999999998</v>
      </c>
      <c r="T302" s="1">
        <v>52.6</v>
      </c>
    </row>
    <row r="303" spans="1:20" ht="15.75" customHeight="1" x14ac:dyDescent="0.2">
      <c r="A303" s="6">
        <v>303</v>
      </c>
      <c r="C303" s="1">
        <v>62</v>
      </c>
      <c r="D303" s="1">
        <v>9</v>
      </c>
      <c r="E303" s="1">
        <v>8.5</v>
      </c>
      <c r="F303" s="1" t="s">
        <v>68</v>
      </c>
      <c r="G303" s="1" t="s">
        <v>399</v>
      </c>
      <c r="H303" s="1" t="s">
        <v>135</v>
      </c>
      <c r="J303" s="9">
        <f t="shared" si="10"/>
        <v>104.7</v>
      </c>
      <c r="K303" s="1">
        <v>1300</v>
      </c>
      <c r="L303" s="1" t="s">
        <v>10</v>
      </c>
      <c r="N303" s="1" t="s">
        <v>215</v>
      </c>
      <c r="P303" s="1" t="s">
        <v>234</v>
      </c>
      <c r="S303" s="1">
        <f t="shared" si="9"/>
        <v>104.7</v>
      </c>
      <c r="T303" s="1">
        <v>32.9</v>
      </c>
    </row>
    <row r="304" spans="1:20" ht="15.75" customHeight="1" x14ac:dyDescent="0.2">
      <c r="A304" s="6">
        <v>304</v>
      </c>
      <c r="C304" s="1">
        <v>63</v>
      </c>
      <c r="D304" s="1">
        <v>8.5</v>
      </c>
      <c r="E304" s="1">
        <v>5</v>
      </c>
      <c r="F304" s="1" t="s">
        <v>12</v>
      </c>
      <c r="G304" s="1" t="s">
        <v>183</v>
      </c>
      <c r="H304" s="1" t="s">
        <v>380</v>
      </c>
      <c r="J304" s="9">
        <f t="shared" si="10"/>
        <v>144.19999999999999</v>
      </c>
      <c r="K304" s="1">
        <v>1300</v>
      </c>
      <c r="L304" s="1" t="s">
        <v>10</v>
      </c>
      <c r="N304" s="1" t="s">
        <v>219</v>
      </c>
      <c r="P304" s="1" t="s">
        <v>234</v>
      </c>
      <c r="Q304" s="1" t="s">
        <v>42</v>
      </c>
      <c r="R304" s="1" t="s">
        <v>13</v>
      </c>
      <c r="S304" s="1">
        <f t="shared" si="9"/>
        <v>144.19999999999999</v>
      </c>
      <c r="T304" s="1">
        <v>45.3</v>
      </c>
    </row>
    <row r="305" spans="1:20" ht="15.75" customHeight="1" x14ac:dyDescent="0.2">
      <c r="A305" s="6">
        <v>305</v>
      </c>
      <c r="C305" s="1">
        <v>63</v>
      </c>
      <c r="D305" s="1">
        <v>3.5</v>
      </c>
      <c r="E305" s="1">
        <v>6</v>
      </c>
      <c r="F305" s="1" t="s">
        <v>48</v>
      </c>
      <c r="G305" s="1" t="s">
        <v>374</v>
      </c>
      <c r="H305" s="1" t="s">
        <v>98</v>
      </c>
      <c r="J305" s="9">
        <f t="shared" si="10"/>
        <v>176.70000000000002</v>
      </c>
      <c r="K305" s="1">
        <v>1300</v>
      </c>
      <c r="L305" s="1" t="s">
        <v>10</v>
      </c>
      <c r="N305" s="14" t="s">
        <v>312</v>
      </c>
      <c r="P305" s="1" t="s">
        <v>234</v>
      </c>
      <c r="S305" s="1">
        <f t="shared" si="9"/>
        <v>176.70000000000002</v>
      </c>
      <c r="T305" s="1">
        <v>55.5</v>
      </c>
    </row>
    <row r="306" spans="1:20" ht="15.75" customHeight="1" x14ac:dyDescent="0.2">
      <c r="A306" s="6">
        <v>306</v>
      </c>
      <c r="C306" s="1">
        <v>63</v>
      </c>
      <c r="D306" s="1">
        <v>4.5</v>
      </c>
      <c r="E306" s="1">
        <v>6</v>
      </c>
      <c r="F306" s="1" t="s">
        <v>12</v>
      </c>
      <c r="G306" s="1" t="s">
        <v>183</v>
      </c>
      <c r="H306" s="1" t="s">
        <v>380</v>
      </c>
      <c r="J306" s="9">
        <f t="shared" si="10"/>
        <v>128.30000000000001</v>
      </c>
      <c r="K306" s="1">
        <v>1300</v>
      </c>
      <c r="L306" s="1" t="s">
        <v>10</v>
      </c>
      <c r="N306" s="1" t="s">
        <v>219</v>
      </c>
      <c r="P306" s="1" t="s">
        <v>234</v>
      </c>
      <c r="Q306" s="1" t="s">
        <v>42</v>
      </c>
      <c r="R306" s="1" t="s">
        <v>13</v>
      </c>
      <c r="S306" s="1">
        <f t="shared" si="9"/>
        <v>128.30000000000001</v>
      </c>
      <c r="T306" s="1">
        <v>40.299999999999997</v>
      </c>
    </row>
    <row r="307" spans="1:20" ht="15.75" customHeight="1" x14ac:dyDescent="0.2">
      <c r="A307" s="6">
        <v>307</v>
      </c>
      <c r="C307" s="1">
        <v>64</v>
      </c>
      <c r="D307" s="1">
        <v>6.5</v>
      </c>
      <c r="E307" s="1">
        <v>0.5</v>
      </c>
      <c r="F307" s="1" t="s">
        <v>22</v>
      </c>
      <c r="G307" s="1" t="s">
        <v>130</v>
      </c>
      <c r="H307" s="1" t="s">
        <v>62</v>
      </c>
      <c r="J307" s="9">
        <f t="shared" si="10"/>
        <v>106.30000000000001</v>
      </c>
      <c r="K307" s="1">
        <v>1300</v>
      </c>
      <c r="L307" s="1" t="s">
        <v>10</v>
      </c>
      <c r="N307" s="14" t="s">
        <v>322</v>
      </c>
      <c r="P307" s="1" t="s">
        <v>234</v>
      </c>
      <c r="S307" s="1">
        <f t="shared" si="9"/>
        <v>106.30000000000001</v>
      </c>
      <c r="T307" s="1">
        <v>33.4</v>
      </c>
    </row>
    <row r="308" spans="1:20" ht="15.75" customHeight="1" x14ac:dyDescent="0.2">
      <c r="A308" s="6">
        <v>308</v>
      </c>
      <c r="C308" s="1">
        <v>64</v>
      </c>
      <c r="D308" s="1">
        <v>7</v>
      </c>
      <c r="E308" s="1">
        <v>2</v>
      </c>
      <c r="F308" s="1" t="s">
        <v>9</v>
      </c>
      <c r="G308" s="1" t="s">
        <v>368</v>
      </c>
      <c r="H308" s="8" t="s">
        <v>384</v>
      </c>
      <c r="J308" s="9">
        <f t="shared" si="10"/>
        <v>116.5</v>
      </c>
      <c r="K308" s="1">
        <v>1300</v>
      </c>
      <c r="L308" s="1" t="s">
        <v>71</v>
      </c>
      <c r="N308" s="1" t="s">
        <v>203</v>
      </c>
      <c r="P308" s="1" t="s">
        <v>234</v>
      </c>
      <c r="S308" s="1">
        <f t="shared" si="9"/>
        <v>116.5</v>
      </c>
      <c r="T308" s="1">
        <v>36.6</v>
      </c>
    </row>
    <row r="309" spans="1:20" ht="15.75" customHeight="1" x14ac:dyDescent="0.2">
      <c r="A309" s="6">
        <v>309</v>
      </c>
      <c r="C309" s="1">
        <v>64</v>
      </c>
      <c r="D309" s="1">
        <v>5</v>
      </c>
      <c r="E309" s="1">
        <v>2</v>
      </c>
      <c r="F309" s="1" t="s">
        <v>76</v>
      </c>
      <c r="G309" s="1" t="s">
        <v>77</v>
      </c>
      <c r="H309" s="1" t="s">
        <v>257</v>
      </c>
      <c r="I309" s="1" t="s">
        <v>187</v>
      </c>
      <c r="J309" s="9">
        <f t="shared" si="10"/>
        <v>171.6</v>
      </c>
      <c r="K309" s="1">
        <v>1300</v>
      </c>
      <c r="L309" s="1" t="s">
        <v>34</v>
      </c>
      <c r="N309" s="1" t="s">
        <v>230</v>
      </c>
      <c r="P309" s="1" t="s">
        <v>234</v>
      </c>
      <c r="S309" s="1">
        <f t="shared" si="9"/>
        <v>171.6</v>
      </c>
      <c r="T309" s="1">
        <v>53.9</v>
      </c>
    </row>
    <row r="310" spans="1:20" ht="15.75" customHeight="1" x14ac:dyDescent="0.2">
      <c r="A310" s="6">
        <v>310</v>
      </c>
      <c r="C310" s="1">
        <v>64</v>
      </c>
      <c r="D310" s="1">
        <v>7</v>
      </c>
      <c r="E310" s="1">
        <v>4</v>
      </c>
      <c r="F310" s="1" t="s">
        <v>12</v>
      </c>
      <c r="G310" s="1" t="s">
        <v>183</v>
      </c>
      <c r="H310" s="1" t="s">
        <v>380</v>
      </c>
      <c r="J310" s="9">
        <f t="shared" si="10"/>
        <v>266.70000000000005</v>
      </c>
      <c r="K310" s="1">
        <v>1300</v>
      </c>
      <c r="L310" s="1" t="s">
        <v>71</v>
      </c>
      <c r="N310" s="1" t="s">
        <v>219</v>
      </c>
      <c r="P310" s="1" t="s">
        <v>234</v>
      </c>
      <c r="Q310" s="1" t="s">
        <v>42</v>
      </c>
      <c r="R310" s="1" t="s">
        <v>13</v>
      </c>
      <c r="S310" s="1">
        <f t="shared" si="9"/>
        <v>266.70000000000005</v>
      </c>
      <c r="T310" s="1">
        <v>83.8</v>
      </c>
    </row>
    <row r="311" spans="1:20" ht="15.75" customHeight="1" x14ac:dyDescent="0.2">
      <c r="A311" s="6">
        <v>311</v>
      </c>
      <c r="C311" s="1">
        <v>64</v>
      </c>
      <c r="D311" s="1">
        <v>9</v>
      </c>
      <c r="E311" s="1">
        <v>7.5</v>
      </c>
      <c r="F311" s="1" t="s">
        <v>136</v>
      </c>
      <c r="G311" s="1" t="s">
        <v>372</v>
      </c>
      <c r="H311" s="1" t="s">
        <v>137</v>
      </c>
      <c r="J311" s="9">
        <f t="shared" si="10"/>
        <v>789.4</v>
      </c>
      <c r="K311" s="1">
        <v>1300</v>
      </c>
      <c r="L311" s="1" t="s">
        <v>55</v>
      </c>
      <c r="N311" s="14" t="s">
        <v>339</v>
      </c>
      <c r="P311" s="1" t="s">
        <v>32</v>
      </c>
      <c r="S311" s="1">
        <f t="shared" si="9"/>
        <v>789.4</v>
      </c>
      <c r="T311" s="1">
        <v>248</v>
      </c>
    </row>
    <row r="312" spans="1:20" ht="15.75" customHeight="1" x14ac:dyDescent="0.2">
      <c r="A312" s="6">
        <v>312</v>
      </c>
      <c r="C312" s="1">
        <v>64</v>
      </c>
      <c r="D312" s="1">
        <v>1.5</v>
      </c>
      <c r="E312" s="1">
        <v>7.5</v>
      </c>
      <c r="F312" s="1" t="s">
        <v>12</v>
      </c>
      <c r="G312" s="1" t="s">
        <v>183</v>
      </c>
      <c r="H312" s="1" t="s">
        <v>380</v>
      </c>
      <c r="J312" s="9">
        <f t="shared" si="10"/>
        <v>151.80000000000001</v>
      </c>
      <c r="K312" s="1">
        <v>1300</v>
      </c>
      <c r="L312" s="1" t="s">
        <v>55</v>
      </c>
      <c r="N312" s="1" t="s">
        <v>219</v>
      </c>
      <c r="P312" s="1" t="s">
        <v>234</v>
      </c>
      <c r="Q312" s="1" t="s">
        <v>42</v>
      </c>
      <c r="R312" s="1" t="s">
        <v>13</v>
      </c>
      <c r="S312" s="1">
        <f t="shared" si="9"/>
        <v>151.80000000000001</v>
      </c>
      <c r="T312" s="1">
        <v>47.7</v>
      </c>
    </row>
    <row r="313" spans="1:20" ht="15.75" customHeight="1" x14ac:dyDescent="0.2">
      <c r="A313" s="6">
        <v>313</v>
      </c>
      <c r="C313" s="1">
        <v>64</v>
      </c>
      <c r="D313" s="1">
        <v>0.8</v>
      </c>
      <c r="E313" s="1">
        <v>7</v>
      </c>
      <c r="F313" s="1" t="s">
        <v>48</v>
      </c>
      <c r="G313" s="1" t="s">
        <v>190</v>
      </c>
      <c r="H313" s="1" t="s">
        <v>249</v>
      </c>
      <c r="J313" s="9">
        <f t="shared" si="10"/>
        <v>232</v>
      </c>
      <c r="K313" s="1">
        <v>1300</v>
      </c>
      <c r="L313" s="1" t="s">
        <v>10</v>
      </c>
      <c r="N313" s="1" t="s">
        <v>212</v>
      </c>
      <c r="P313" s="1" t="s">
        <v>234</v>
      </c>
      <c r="S313" s="1">
        <f t="shared" si="9"/>
        <v>232</v>
      </c>
      <c r="T313" s="1">
        <v>72.900000000000006</v>
      </c>
    </row>
    <row r="314" spans="1:20" ht="15.75" customHeight="1" x14ac:dyDescent="0.2">
      <c r="A314" s="6">
        <v>314</v>
      </c>
      <c r="C314" s="1">
        <v>65</v>
      </c>
      <c r="D314" s="1">
        <v>5.5</v>
      </c>
      <c r="E314" s="1">
        <v>1.3</v>
      </c>
      <c r="F314" s="1" t="s">
        <v>12</v>
      </c>
      <c r="G314" s="1" t="s">
        <v>183</v>
      </c>
      <c r="H314" s="1" t="s">
        <v>380</v>
      </c>
      <c r="J314" s="9">
        <f t="shared" si="10"/>
        <v>163</v>
      </c>
      <c r="K314" s="1">
        <v>1300</v>
      </c>
      <c r="L314" s="1" t="s">
        <v>10</v>
      </c>
      <c r="N314" s="1" t="s">
        <v>219</v>
      </c>
      <c r="P314" s="1" t="s">
        <v>234</v>
      </c>
      <c r="Q314" s="1" t="s">
        <v>42</v>
      </c>
      <c r="R314" s="1" t="s">
        <v>13</v>
      </c>
      <c r="S314" s="1">
        <f t="shared" si="9"/>
        <v>163</v>
      </c>
      <c r="T314" s="1">
        <v>51.2</v>
      </c>
    </row>
    <row r="315" spans="1:20" ht="15.75" customHeight="1" x14ac:dyDescent="0.2">
      <c r="A315" s="6">
        <v>315</v>
      </c>
      <c r="C315" s="1">
        <v>65</v>
      </c>
      <c r="D315" s="1">
        <v>5.5</v>
      </c>
      <c r="E315" s="1">
        <v>3</v>
      </c>
      <c r="F315" s="1" t="s">
        <v>20</v>
      </c>
      <c r="G315" s="1" t="s">
        <v>405</v>
      </c>
      <c r="H315" s="1" t="s">
        <v>47</v>
      </c>
      <c r="J315" s="9">
        <f t="shared" si="10"/>
        <v>268</v>
      </c>
      <c r="K315" s="1">
        <v>1300</v>
      </c>
      <c r="L315" s="1" t="s">
        <v>10</v>
      </c>
      <c r="S315" s="1">
        <f t="shared" si="9"/>
        <v>268</v>
      </c>
      <c r="T315" s="1">
        <v>84.2</v>
      </c>
    </row>
    <row r="316" spans="1:20" ht="15.75" customHeight="1" x14ac:dyDescent="0.2">
      <c r="A316" s="6">
        <v>316</v>
      </c>
      <c r="C316" s="1">
        <v>65</v>
      </c>
      <c r="D316" s="1">
        <v>5</v>
      </c>
      <c r="E316" s="1">
        <v>3.3</v>
      </c>
      <c r="F316" s="1" t="s">
        <v>12</v>
      </c>
      <c r="G316" s="1" t="s">
        <v>183</v>
      </c>
      <c r="H316" s="1" t="s">
        <v>380</v>
      </c>
      <c r="J316" s="9">
        <f t="shared" si="10"/>
        <v>101.5</v>
      </c>
      <c r="K316" s="1">
        <v>1300</v>
      </c>
      <c r="L316" s="1" t="s">
        <v>10</v>
      </c>
      <c r="N316" s="1" t="s">
        <v>219</v>
      </c>
      <c r="P316" s="1" t="s">
        <v>234</v>
      </c>
      <c r="Q316" s="1" t="s">
        <v>42</v>
      </c>
      <c r="R316" s="1" t="s">
        <v>13</v>
      </c>
      <c r="S316" s="1">
        <f t="shared" si="9"/>
        <v>101.5</v>
      </c>
      <c r="T316" s="1">
        <v>31.9</v>
      </c>
    </row>
    <row r="317" spans="1:20" ht="15.75" customHeight="1" x14ac:dyDescent="0.2">
      <c r="A317" s="6">
        <v>317</v>
      </c>
      <c r="C317" s="1">
        <v>65</v>
      </c>
      <c r="D317" s="1">
        <v>9</v>
      </c>
      <c r="E317" s="1">
        <v>1.3</v>
      </c>
      <c r="F317" s="1" t="s">
        <v>68</v>
      </c>
      <c r="G317" s="1" t="s">
        <v>399</v>
      </c>
      <c r="H317" s="1" t="s">
        <v>135</v>
      </c>
      <c r="J317" s="9">
        <f t="shared" si="10"/>
        <v>103.5</v>
      </c>
      <c r="K317" s="1">
        <v>1300</v>
      </c>
      <c r="L317" s="1" t="s">
        <v>10</v>
      </c>
      <c r="N317" s="1" t="s">
        <v>215</v>
      </c>
      <c r="P317" s="1" t="s">
        <v>234</v>
      </c>
      <c r="S317" s="1">
        <f t="shared" si="9"/>
        <v>103.5</v>
      </c>
      <c r="T317" s="1">
        <v>32.5</v>
      </c>
    </row>
    <row r="318" spans="1:20" ht="15.75" customHeight="1" x14ac:dyDescent="0.2">
      <c r="A318" s="6">
        <v>318</v>
      </c>
      <c r="C318" s="1">
        <v>65</v>
      </c>
      <c r="D318" s="1">
        <v>2</v>
      </c>
      <c r="E318" s="1">
        <v>3.5</v>
      </c>
      <c r="F318" s="1" t="s">
        <v>12</v>
      </c>
      <c r="G318" s="1" t="s">
        <v>183</v>
      </c>
      <c r="H318" s="1" t="s">
        <v>380</v>
      </c>
      <c r="J318" s="9">
        <f t="shared" si="10"/>
        <v>99.3</v>
      </c>
      <c r="K318" s="1">
        <v>1300</v>
      </c>
      <c r="L318" s="1" t="s">
        <v>10</v>
      </c>
      <c r="N318" s="1" t="s">
        <v>219</v>
      </c>
      <c r="P318" s="1" t="s">
        <v>234</v>
      </c>
      <c r="Q318" s="1" t="s">
        <v>42</v>
      </c>
      <c r="R318" s="1" t="s">
        <v>13</v>
      </c>
      <c r="S318" s="1">
        <f t="shared" si="9"/>
        <v>99.3</v>
      </c>
      <c r="T318" s="1">
        <v>31.2</v>
      </c>
    </row>
    <row r="319" spans="1:20" ht="15.75" customHeight="1" x14ac:dyDescent="0.2">
      <c r="A319" s="6">
        <v>319</v>
      </c>
      <c r="C319" s="1">
        <v>65</v>
      </c>
      <c r="D319" s="1">
        <v>5</v>
      </c>
      <c r="E319" s="1">
        <v>4.5</v>
      </c>
      <c r="F319" s="1" t="s">
        <v>22</v>
      </c>
      <c r="G319" s="1" t="s">
        <v>130</v>
      </c>
      <c r="H319" s="1" t="s">
        <v>62</v>
      </c>
      <c r="J319" s="9">
        <f t="shared" si="10"/>
        <v>100.60000000000001</v>
      </c>
      <c r="K319" s="1">
        <v>1300</v>
      </c>
      <c r="L319" s="1" t="s">
        <v>10</v>
      </c>
      <c r="N319" s="14" t="s">
        <v>322</v>
      </c>
      <c r="P319" s="1" t="s">
        <v>234</v>
      </c>
      <c r="S319" s="1">
        <f t="shared" si="9"/>
        <v>100.60000000000001</v>
      </c>
      <c r="T319" s="1">
        <v>31.6</v>
      </c>
    </row>
    <row r="320" spans="1:20" ht="15.75" customHeight="1" x14ac:dyDescent="0.2">
      <c r="A320" s="6">
        <v>320</v>
      </c>
      <c r="C320" s="1">
        <v>65</v>
      </c>
      <c r="D320" s="1">
        <v>3</v>
      </c>
      <c r="E320" s="1">
        <v>6</v>
      </c>
      <c r="F320" s="1" t="s">
        <v>12</v>
      </c>
      <c r="G320" s="1" t="s">
        <v>183</v>
      </c>
      <c r="H320" s="1" t="s">
        <v>380</v>
      </c>
      <c r="J320" s="9">
        <f t="shared" si="10"/>
        <v>112</v>
      </c>
      <c r="K320" s="1">
        <v>1300</v>
      </c>
      <c r="L320" s="1" t="s">
        <v>10</v>
      </c>
      <c r="N320" s="1" t="s">
        <v>219</v>
      </c>
      <c r="P320" s="1" t="s">
        <v>234</v>
      </c>
      <c r="Q320" s="1" t="s">
        <v>42</v>
      </c>
      <c r="R320" s="1" t="s">
        <v>13</v>
      </c>
      <c r="S320" s="1">
        <f t="shared" si="9"/>
        <v>112</v>
      </c>
      <c r="T320" s="1">
        <v>35.200000000000003</v>
      </c>
    </row>
    <row r="321" spans="1:20" ht="15.75" customHeight="1" x14ac:dyDescent="0.2">
      <c r="A321" s="6">
        <v>321</v>
      </c>
      <c r="B321" s="1">
        <v>321</v>
      </c>
      <c r="C321" s="1">
        <v>65</v>
      </c>
      <c r="D321" s="1">
        <v>6</v>
      </c>
      <c r="E321" s="1">
        <v>7</v>
      </c>
      <c r="F321" s="1" t="s">
        <v>39</v>
      </c>
      <c r="G321" s="1" t="s">
        <v>400</v>
      </c>
      <c r="H321" s="1" t="s">
        <v>264</v>
      </c>
      <c r="J321" s="9">
        <f t="shared" si="10"/>
        <v>139.4</v>
      </c>
      <c r="K321" s="1">
        <v>1300</v>
      </c>
      <c r="L321" s="1" t="s">
        <v>138</v>
      </c>
      <c r="N321" s="1" t="s">
        <v>211</v>
      </c>
      <c r="P321" s="1" t="s">
        <v>234</v>
      </c>
      <c r="S321" s="1">
        <f t="shared" si="9"/>
        <v>139.4</v>
      </c>
      <c r="T321" s="1">
        <v>43.8</v>
      </c>
    </row>
    <row r="322" spans="1:20" ht="15.75" customHeight="1" x14ac:dyDescent="0.2">
      <c r="A322" s="6">
        <v>322</v>
      </c>
      <c r="B322" s="1">
        <v>321</v>
      </c>
      <c r="C322" s="1">
        <v>65</v>
      </c>
      <c r="D322" s="1">
        <v>6</v>
      </c>
      <c r="E322" s="1">
        <v>7</v>
      </c>
      <c r="F322" s="1" t="s">
        <v>39</v>
      </c>
      <c r="G322" s="1" t="s">
        <v>400</v>
      </c>
      <c r="H322" s="1" t="s">
        <v>264</v>
      </c>
      <c r="J322" s="9">
        <f t="shared" si="10"/>
        <v>185.6</v>
      </c>
      <c r="K322" s="1">
        <v>1300</v>
      </c>
      <c r="L322" s="1" t="s">
        <v>138</v>
      </c>
      <c r="N322" s="1" t="s">
        <v>211</v>
      </c>
      <c r="P322" s="1" t="s">
        <v>234</v>
      </c>
      <c r="S322" s="1">
        <f t="shared" si="9"/>
        <v>185.6</v>
      </c>
      <c r="T322" s="1">
        <v>58.3</v>
      </c>
    </row>
    <row r="323" spans="1:20" ht="15.75" customHeight="1" x14ac:dyDescent="0.2">
      <c r="A323" s="6">
        <v>323</v>
      </c>
      <c r="C323" s="1">
        <v>65</v>
      </c>
      <c r="D323" s="1">
        <v>8.5</v>
      </c>
      <c r="E323" s="1">
        <v>8.5</v>
      </c>
      <c r="F323" s="1" t="s">
        <v>22</v>
      </c>
      <c r="G323" s="1" t="s">
        <v>130</v>
      </c>
      <c r="H323" s="1" t="s">
        <v>62</v>
      </c>
      <c r="J323" s="9">
        <f t="shared" si="10"/>
        <v>129.60000000000002</v>
      </c>
      <c r="K323" s="1">
        <v>1300</v>
      </c>
      <c r="L323" s="1" t="s">
        <v>19</v>
      </c>
      <c r="N323" s="14" t="s">
        <v>322</v>
      </c>
      <c r="P323" s="1" t="s">
        <v>234</v>
      </c>
      <c r="Q323" s="1" t="s">
        <v>139</v>
      </c>
      <c r="S323" s="1">
        <f t="shared" si="9"/>
        <v>129.60000000000002</v>
      </c>
      <c r="T323" s="1">
        <v>40.700000000000003</v>
      </c>
    </row>
    <row r="324" spans="1:20" ht="15.75" customHeight="1" x14ac:dyDescent="0.2">
      <c r="A324" s="6">
        <v>324</v>
      </c>
      <c r="C324" s="1">
        <v>66</v>
      </c>
      <c r="D324" s="1">
        <v>1</v>
      </c>
      <c r="E324" s="1">
        <v>1.5</v>
      </c>
      <c r="F324" s="1" t="s">
        <v>39</v>
      </c>
      <c r="G324" s="1" t="s">
        <v>396</v>
      </c>
      <c r="H324" s="1" t="s">
        <v>254</v>
      </c>
      <c r="J324" s="9">
        <f t="shared" si="10"/>
        <v>120.60000000000001</v>
      </c>
      <c r="K324" s="1">
        <v>1300</v>
      </c>
      <c r="L324" s="1" t="s">
        <v>140</v>
      </c>
      <c r="N324" s="14" t="s">
        <v>348</v>
      </c>
      <c r="P324" s="1" t="s">
        <v>32</v>
      </c>
      <c r="S324" s="1">
        <f t="shared" si="9"/>
        <v>120.60000000000001</v>
      </c>
      <c r="T324" s="1">
        <v>37.9</v>
      </c>
    </row>
    <row r="325" spans="1:20" ht="15.75" customHeight="1" x14ac:dyDescent="0.2">
      <c r="A325" s="6">
        <v>325</v>
      </c>
      <c r="C325" s="1">
        <v>66</v>
      </c>
      <c r="D325" s="1">
        <v>9.5</v>
      </c>
      <c r="E325" s="1">
        <v>5</v>
      </c>
      <c r="F325" s="1" t="s">
        <v>39</v>
      </c>
      <c r="G325" s="1" t="s">
        <v>397</v>
      </c>
      <c r="H325" s="1" t="s">
        <v>254</v>
      </c>
      <c r="J325" s="9">
        <f t="shared" si="10"/>
        <v>125.7</v>
      </c>
      <c r="K325" s="1">
        <v>1300</v>
      </c>
      <c r="L325" s="1" t="s">
        <v>55</v>
      </c>
      <c r="N325" s="14" t="s">
        <v>349</v>
      </c>
      <c r="P325" s="1" t="s">
        <v>32</v>
      </c>
      <c r="S325" s="1">
        <f t="shared" si="9"/>
        <v>125.7</v>
      </c>
      <c r="T325" s="1">
        <v>39.5</v>
      </c>
    </row>
    <row r="326" spans="1:20" ht="15.75" customHeight="1" x14ac:dyDescent="0.2">
      <c r="A326" s="6">
        <v>326</v>
      </c>
      <c r="C326" s="1">
        <v>66</v>
      </c>
      <c r="D326" s="1">
        <v>9.8000000000000007</v>
      </c>
      <c r="E326" s="1">
        <v>9.1999999999999993</v>
      </c>
      <c r="F326" s="1" t="s">
        <v>93</v>
      </c>
      <c r="G326" s="1" t="s">
        <v>94</v>
      </c>
      <c r="H326" s="1" t="s">
        <v>344</v>
      </c>
      <c r="J326" s="9">
        <f t="shared" si="10"/>
        <v>128.30000000000001</v>
      </c>
      <c r="K326" s="1">
        <v>1300</v>
      </c>
      <c r="L326" s="1" t="s">
        <v>10</v>
      </c>
      <c r="Q326" s="1" t="s">
        <v>26</v>
      </c>
      <c r="S326" s="1">
        <f t="shared" si="9"/>
        <v>128.30000000000001</v>
      </c>
      <c r="T326" s="1">
        <v>40.299999999999997</v>
      </c>
    </row>
    <row r="327" spans="1:20" ht="15.75" customHeight="1" x14ac:dyDescent="0.2">
      <c r="A327" s="6">
        <v>327</v>
      </c>
      <c r="C327" s="1">
        <v>66</v>
      </c>
      <c r="D327" s="1">
        <v>4</v>
      </c>
      <c r="E327" s="1">
        <v>9</v>
      </c>
      <c r="F327" s="1" t="s">
        <v>78</v>
      </c>
      <c r="G327" s="1" t="s">
        <v>371</v>
      </c>
      <c r="H327" s="1" t="s">
        <v>79</v>
      </c>
      <c r="J327" s="9">
        <f t="shared" si="10"/>
        <v>307.8</v>
      </c>
      <c r="K327" s="1">
        <v>1300</v>
      </c>
      <c r="L327" s="1" t="s">
        <v>10</v>
      </c>
      <c r="N327" s="14" t="s">
        <v>346</v>
      </c>
      <c r="P327" s="1" t="s">
        <v>234</v>
      </c>
      <c r="S327" s="1">
        <f t="shared" ref="S327:S390" si="11">ROUND(T327/PI(), 2) * 10</f>
        <v>307.8</v>
      </c>
      <c r="T327" s="1">
        <v>96.7</v>
      </c>
    </row>
    <row r="328" spans="1:20" ht="15.75" customHeight="1" x14ac:dyDescent="0.2">
      <c r="A328" s="6">
        <v>328</v>
      </c>
      <c r="C328" s="1">
        <v>67</v>
      </c>
      <c r="D328" s="1">
        <v>0.5</v>
      </c>
      <c r="E328" s="1">
        <v>8</v>
      </c>
      <c r="F328" s="1" t="s">
        <v>39</v>
      </c>
      <c r="G328" s="1" t="s">
        <v>153</v>
      </c>
      <c r="H328" s="1" t="s">
        <v>386</v>
      </c>
      <c r="J328" s="9">
        <f t="shared" si="10"/>
        <v>421.4</v>
      </c>
      <c r="K328" s="1">
        <v>1300</v>
      </c>
      <c r="L328" s="1" t="s">
        <v>113</v>
      </c>
      <c r="N328" s="14" t="s">
        <v>329</v>
      </c>
      <c r="P328" s="1" t="s">
        <v>32</v>
      </c>
      <c r="S328" s="1">
        <f t="shared" si="11"/>
        <v>421.4</v>
      </c>
      <c r="T328" s="1">
        <v>132.4</v>
      </c>
    </row>
    <row r="329" spans="1:20" ht="15.75" customHeight="1" x14ac:dyDescent="0.2">
      <c r="A329" s="6">
        <v>329</v>
      </c>
      <c r="C329" s="1">
        <v>67</v>
      </c>
      <c r="D329" s="1">
        <v>7</v>
      </c>
      <c r="E329" s="1">
        <v>8</v>
      </c>
      <c r="F329" s="1" t="s">
        <v>136</v>
      </c>
      <c r="G329" s="1" t="s">
        <v>372</v>
      </c>
      <c r="H329" s="1" t="s">
        <v>137</v>
      </c>
      <c r="J329" s="9">
        <f t="shared" si="10"/>
        <v>100.3</v>
      </c>
      <c r="K329" s="1">
        <v>1300</v>
      </c>
      <c r="L329" s="1" t="s">
        <v>141</v>
      </c>
      <c r="N329" s="14" t="s">
        <v>339</v>
      </c>
      <c r="P329" s="1" t="s">
        <v>234</v>
      </c>
      <c r="Q329" s="1" t="s">
        <v>142</v>
      </c>
      <c r="S329" s="1">
        <f t="shared" si="11"/>
        <v>100.3</v>
      </c>
      <c r="T329" s="1">
        <v>31.5</v>
      </c>
    </row>
    <row r="330" spans="1:20" ht="15.75" customHeight="1" x14ac:dyDescent="0.2">
      <c r="A330" s="6">
        <v>330</v>
      </c>
      <c r="C330" s="1">
        <v>68</v>
      </c>
      <c r="D330" s="1">
        <v>5</v>
      </c>
      <c r="E330" s="1">
        <v>8</v>
      </c>
      <c r="F330" s="1" t="s">
        <v>76</v>
      </c>
      <c r="G330" s="1" t="s">
        <v>77</v>
      </c>
      <c r="H330" s="1" t="s">
        <v>257</v>
      </c>
      <c r="I330" s="1" t="s">
        <v>187</v>
      </c>
      <c r="J330" s="9">
        <f t="shared" si="10"/>
        <v>191.29999999999998</v>
      </c>
      <c r="K330" s="1">
        <v>1300</v>
      </c>
      <c r="L330" s="1" t="s">
        <v>45</v>
      </c>
      <c r="N330" s="1" t="s">
        <v>230</v>
      </c>
      <c r="P330" s="1" t="s">
        <v>32</v>
      </c>
      <c r="Q330" s="1" t="s">
        <v>143</v>
      </c>
      <c r="S330" s="1">
        <f t="shared" si="11"/>
        <v>191.29999999999998</v>
      </c>
      <c r="T330" s="1">
        <v>60.1</v>
      </c>
    </row>
    <row r="331" spans="1:20" ht="15.75" customHeight="1" x14ac:dyDescent="0.2">
      <c r="A331" s="6">
        <v>331</v>
      </c>
      <c r="C331" s="1">
        <v>69</v>
      </c>
      <c r="D331" s="1">
        <v>9.5</v>
      </c>
      <c r="E331" s="1">
        <v>2</v>
      </c>
      <c r="F331" s="1" t="s">
        <v>78</v>
      </c>
      <c r="G331" s="1" t="s">
        <v>192</v>
      </c>
      <c r="H331" s="1" t="s">
        <v>95</v>
      </c>
      <c r="J331" s="9">
        <f t="shared" si="10"/>
        <v>246.70000000000002</v>
      </c>
      <c r="K331" s="1">
        <v>1300</v>
      </c>
      <c r="L331" s="1" t="s">
        <v>19</v>
      </c>
      <c r="N331" s="1" t="s">
        <v>231</v>
      </c>
      <c r="P331" s="1" t="s">
        <v>32</v>
      </c>
      <c r="Q331" s="1" t="s">
        <v>144</v>
      </c>
      <c r="S331" s="1">
        <f t="shared" si="11"/>
        <v>246.70000000000002</v>
      </c>
      <c r="T331" s="1">
        <v>77.5</v>
      </c>
    </row>
    <row r="332" spans="1:20" ht="15.75" customHeight="1" x14ac:dyDescent="0.2">
      <c r="A332" s="6">
        <v>332</v>
      </c>
      <c r="C332" s="1">
        <v>69</v>
      </c>
      <c r="D332" s="1">
        <v>6.5</v>
      </c>
      <c r="E332" s="1">
        <v>5</v>
      </c>
      <c r="F332" s="1" t="s">
        <v>186</v>
      </c>
      <c r="G332" s="1" t="s">
        <v>200</v>
      </c>
      <c r="H332" s="1" t="s">
        <v>255</v>
      </c>
      <c r="J332" s="9">
        <f t="shared" ref="J332:J395" si="12">S332</f>
        <v>138.1</v>
      </c>
      <c r="K332" s="1">
        <v>1300</v>
      </c>
      <c r="L332" s="1" t="s">
        <v>10</v>
      </c>
      <c r="N332" s="1" t="s">
        <v>228</v>
      </c>
      <c r="P332" s="1" t="s">
        <v>234</v>
      </c>
      <c r="S332" s="1">
        <f t="shared" si="11"/>
        <v>138.1</v>
      </c>
      <c r="T332" s="1">
        <v>43.4</v>
      </c>
    </row>
    <row r="333" spans="1:20" ht="15.75" customHeight="1" x14ac:dyDescent="0.2">
      <c r="A333" s="6">
        <v>333</v>
      </c>
      <c r="C333" s="1">
        <v>69</v>
      </c>
      <c r="D333" s="1">
        <v>8.5</v>
      </c>
      <c r="E333" s="1">
        <v>6.5</v>
      </c>
      <c r="F333" s="1" t="s">
        <v>114</v>
      </c>
      <c r="G333" s="1" t="s">
        <v>185</v>
      </c>
      <c r="H333" s="1" t="s">
        <v>36</v>
      </c>
      <c r="J333" s="9">
        <f t="shared" si="12"/>
        <v>264.20000000000005</v>
      </c>
      <c r="K333" s="1">
        <v>1300</v>
      </c>
      <c r="L333" s="1" t="s">
        <v>34</v>
      </c>
      <c r="N333" s="1" t="s">
        <v>216</v>
      </c>
      <c r="P333" s="1" t="s">
        <v>234</v>
      </c>
      <c r="Q333" s="1" t="s">
        <v>122</v>
      </c>
      <c r="S333" s="1">
        <f t="shared" si="11"/>
        <v>264.20000000000005</v>
      </c>
      <c r="T333" s="1">
        <v>83</v>
      </c>
    </row>
    <row r="334" spans="1:20" ht="15.75" customHeight="1" x14ac:dyDescent="0.2">
      <c r="A334" s="6">
        <v>334</v>
      </c>
      <c r="C334" s="1">
        <v>69</v>
      </c>
      <c r="D334" s="1">
        <v>5</v>
      </c>
      <c r="E334" s="1">
        <v>8.5</v>
      </c>
      <c r="F334" s="1" t="s">
        <v>114</v>
      </c>
      <c r="G334" s="1" t="s">
        <v>185</v>
      </c>
      <c r="H334" s="1" t="s">
        <v>36</v>
      </c>
      <c r="J334" s="9">
        <f t="shared" si="12"/>
        <v>247</v>
      </c>
      <c r="K334" s="1">
        <v>1300</v>
      </c>
      <c r="L334" s="1" t="s">
        <v>10</v>
      </c>
      <c r="N334" s="1" t="s">
        <v>216</v>
      </c>
      <c r="P334" s="1" t="s">
        <v>234</v>
      </c>
      <c r="Q334" s="1" t="s">
        <v>122</v>
      </c>
      <c r="S334" s="1">
        <f t="shared" si="11"/>
        <v>247</v>
      </c>
      <c r="T334" s="1">
        <v>77.599999999999994</v>
      </c>
    </row>
    <row r="335" spans="1:20" ht="15.75" customHeight="1" x14ac:dyDescent="0.2">
      <c r="A335" s="6">
        <v>335</v>
      </c>
      <c r="C335" s="1">
        <v>69</v>
      </c>
      <c r="D335" s="1">
        <v>9.5</v>
      </c>
      <c r="E335" s="1">
        <v>7</v>
      </c>
      <c r="F335" s="1" t="s">
        <v>39</v>
      </c>
      <c r="G335" s="1" t="s">
        <v>401</v>
      </c>
      <c r="H335" s="1" t="s">
        <v>262</v>
      </c>
      <c r="J335" s="9">
        <f t="shared" si="12"/>
        <v>362.9</v>
      </c>
      <c r="K335" s="1">
        <v>1300</v>
      </c>
      <c r="L335" s="1" t="s">
        <v>10</v>
      </c>
      <c r="N335" s="1" t="s">
        <v>233</v>
      </c>
      <c r="P335" s="1" t="s">
        <v>234</v>
      </c>
      <c r="S335" s="1">
        <f t="shared" si="11"/>
        <v>362.9</v>
      </c>
      <c r="T335" s="1">
        <v>114</v>
      </c>
    </row>
    <row r="336" spans="1:20" ht="15.75" customHeight="1" x14ac:dyDescent="0.2">
      <c r="A336" s="6">
        <v>336</v>
      </c>
      <c r="C336" s="1">
        <v>69</v>
      </c>
      <c r="D336" s="1">
        <v>5</v>
      </c>
      <c r="E336" s="1">
        <v>6.5</v>
      </c>
      <c r="F336" s="1" t="s">
        <v>39</v>
      </c>
      <c r="G336" s="1" t="s">
        <v>393</v>
      </c>
      <c r="H336" s="1" t="s">
        <v>265</v>
      </c>
      <c r="J336" s="9">
        <f t="shared" si="12"/>
        <v>127.30000000000001</v>
      </c>
      <c r="K336" s="1">
        <v>1300</v>
      </c>
      <c r="L336" s="1" t="s">
        <v>19</v>
      </c>
      <c r="N336" s="14" t="s">
        <v>317</v>
      </c>
      <c r="P336" s="1" t="s">
        <v>32</v>
      </c>
      <c r="Q336" s="1" t="s">
        <v>145</v>
      </c>
      <c r="S336" s="1">
        <f t="shared" si="11"/>
        <v>127.30000000000001</v>
      </c>
      <c r="T336" s="1">
        <v>40</v>
      </c>
    </row>
    <row r="337" spans="1:20" ht="15.75" customHeight="1" x14ac:dyDescent="0.2">
      <c r="A337" s="6">
        <v>337</v>
      </c>
      <c r="C337" s="1">
        <v>69</v>
      </c>
      <c r="D337" s="1">
        <v>3.5</v>
      </c>
      <c r="E337" s="1">
        <v>4</v>
      </c>
      <c r="F337" s="1" t="s">
        <v>20</v>
      </c>
      <c r="G337" s="1" t="s">
        <v>405</v>
      </c>
      <c r="H337" s="1" t="s">
        <v>47</v>
      </c>
      <c r="J337" s="9">
        <f t="shared" si="12"/>
        <v>326.3</v>
      </c>
      <c r="K337" s="1">
        <v>1300</v>
      </c>
      <c r="L337" s="1" t="s">
        <v>71</v>
      </c>
      <c r="S337" s="1">
        <f t="shared" si="11"/>
        <v>326.3</v>
      </c>
      <c r="T337" s="1">
        <v>102.5</v>
      </c>
    </row>
    <row r="338" spans="1:20" ht="15.75" customHeight="1" x14ac:dyDescent="0.2">
      <c r="A338" s="6">
        <v>338</v>
      </c>
      <c r="C338" s="1">
        <v>70</v>
      </c>
      <c r="D338" s="1">
        <v>3.5</v>
      </c>
      <c r="E338" s="1">
        <v>2.2999999999999998</v>
      </c>
      <c r="F338" s="1" t="s">
        <v>22</v>
      </c>
      <c r="G338" s="1" t="s">
        <v>324</v>
      </c>
      <c r="H338" s="1" t="s">
        <v>23</v>
      </c>
      <c r="J338" s="9">
        <f t="shared" si="12"/>
        <v>163.9</v>
      </c>
      <c r="K338" s="1">
        <v>1300</v>
      </c>
      <c r="L338" s="1" t="s">
        <v>10</v>
      </c>
      <c r="N338" s="14" t="s">
        <v>327</v>
      </c>
      <c r="P338" s="1" t="s">
        <v>234</v>
      </c>
      <c r="Q338" s="1" t="s">
        <v>26</v>
      </c>
      <c r="S338" s="1">
        <f t="shared" si="11"/>
        <v>163.9</v>
      </c>
      <c r="T338" s="1">
        <v>51.5</v>
      </c>
    </row>
    <row r="339" spans="1:20" ht="15.75" customHeight="1" x14ac:dyDescent="0.2">
      <c r="A339" s="6">
        <v>339</v>
      </c>
      <c r="C339" s="1">
        <v>70</v>
      </c>
      <c r="D339" s="1">
        <v>1</v>
      </c>
      <c r="E339" s="1">
        <v>1.5</v>
      </c>
      <c r="F339" s="1" t="s">
        <v>20</v>
      </c>
      <c r="G339" s="1" t="s">
        <v>134</v>
      </c>
      <c r="H339" s="1" t="s">
        <v>375</v>
      </c>
      <c r="J339" s="9">
        <f t="shared" si="12"/>
        <v>179.5</v>
      </c>
      <c r="K339" s="1">
        <v>1300</v>
      </c>
      <c r="L339" s="1" t="s">
        <v>34</v>
      </c>
      <c r="S339" s="1">
        <f t="shared" si="11"/>
        <v>179.5</v>
      </c>
      <c r="T339" s="1">
        <v>56.4</v>
      </c>
    </row>
    <row r="340" spans="1:20" ht="15.75" customHeight="1" x14ac:dyDescent="0.2">
      <c r="A340" s="6">
        <v>340</v>
      </c>
      <c r="C340" s="1">
        <v>70</v>
      </c>
      <c r="D340" s="1">
        <v>2.5</v>
      </c>
      <c r="E340" s="1">
        <v>5</v>
      </c>
      <c r="F340" s="1" t="s">
        <v>22</v>
      </c>
      <c r="G340" s="1" t="s">
        <v>324</v>
      </c>
      <c r="H340" s="1" t="s">
        <v>23</v>
      </c>
      <c r="J340" s="9">
        <f t="shared" si="12"/>
        <v>121.6</v>
      </c>
      <c r="K340" s="1">
        <v>1300</v>
      </c>
      <c r="L340" s="1" t="s">
        <v>10</v>
      </c>
      <c r="N340" s="14" t="s">
        <v>327</v>
      </c>
      <c r="P340" s="1" t="s">
        <v>234</v>
      </c>
      <c r="Q340" s="1" t="s">
        <v>146</v>
      </c>
      <c r="S340" s="1">
        <f t="shared" si="11"/>
        <v>121.6</v>
      </c>
      <c r="T340" s="1">
        <v>38.200000000000003</v>
      </c>
    </row>
    <row r="341" spans="1:20" ht="15.75" customHeight="1" x14ac:dyDescent="0.2">
      <c r="A341" s="6">
        <v>341</v>
      </c>
      <c r="C341" s="1">
        <v>70</v>
      </c>
      <c r="D341" s="1">
        <v>3.5</v>
      </c>
      <c r="E341" s="1">
        <v>9</v>
      </c>
      <c r="F341" s="1" t="s">
        <v>76</v>
      </c>
      <c r="G341" s="1" t="s">
        <v>77</v>
      </c>
      <c r="H341" s="1" t="s">
        <v>257</v>
      </c>
      <c r="I341" s="1" t="s">
        <v>187</v>
      </c>
      <c r="J341" s="9">
        <f t="shared" si="12"/>
        <v>143.9</v>
      </c>
      <c r="K341" s="1">
        <v>1300</v>
      </c>
      <c r="L341" s="1" t="s">
        <v>10</v>
      </c>
      <c r="N341" s="1" t="s">
        <v>232</v>
      </c>
      <c r="P341" s="1" t="s">
        <v>32</v>
      </c>
      <c r="S341" s="1">
        <f t="shared" si="11"/>
        <v>143.9</v>
      </c>
      <c r="T341" s="1">
        <v>45.2</v>
      </c>
    </row>
    <row r="342" spans="1:20" ht="15.75" customHeight="1" x14ac:dyDescent="0.2">
      <c r="A342" s="6">
        <v>342</v>
      </c>
      <c r="C342" s="1">
        <v>70</v>
      </c>
      <c r="D342" s="1">
        <v>0.8</v>
      </c>
      <c r="E342" s="1">
        <v>9.5</v>
      </c>
      <c r="F342" s="1" t="s">
        <v>12</v>
      </c>
      <c r="G342" s="1" t="s">
        <v>183</v>
      </c>
      <c r="H342" s="1" t="s">
        <v>380</v>
      </c>
      <c r="J342" s="9">
        <f t="shared" si="12"/>
        <v>101.19999999999999</v>
      </c>
      <c r="K342" s="1">
        <v>1300</v>
      </c>
      <c r="L342" s="1" t="s">
        <v>10</v>
      </c>
      <c r="N342" s="1" t="s">
        <v>219</v>
      </c>
      <c r="P342" s="1" t="s">
        <v>234</v>
      </c>
      <c r="Q342" s="1" t="s">
        <v>42</v>
      </c>
      <c r="R342" s="1" t="s">
        <v>13</v>
      </c>
      <c r="S342" s="1">
        <f t="shared" si="11"/>
        <v>101.19999999999999</v>
      </c>
      <c r="T342" s="1">
        <v>31.8</v>
      </c>
    </row>
    <row r="343" spans="1:20" ht="15.75" customHeight="1" x14ac:dyDescent="0.2">
      <c r="A343" s="6">
        <v>343</v>
      </c>
      <c r="C343" s="1">
        <v>70</v>
      </c>
      <c r="D343" s="1">
        <v>6.5</v>
      </c>
      <c r="E343" s="1">
        <v>7</v>
      </c>
      <c r="F343" s="1" t="s">
        <v>48</v>
      </c>
      <c r="G343" s="1" t="s">
        <v>189</v>
      </c>
      <c r="H343" s="1" t="s">
        <v>49</v>
      </c>
      <c r="J343" s="9">
        <f t="shared" si="12"/>
        <v>102.5</v>
      </c>
      <c r="K343" s="1">
        <v>1300</v>
      </c>
      <c r="L343" s="1" t="s">
        <v>10</v>
      </c>
      <c r="N343" s="1" t="s">
        <v>208</v>
      </c>
      <c r="P343" s="1" t="s">
        <v>234</v>
      </c>
      <c r="S343" s="1">
        <f t="shared" si="11"/>
        <v>102.5</v>
      </c>
      <c r="T343" s="1">
        <v>32.200000000000003</v>
      </c>
    </row>
    <row r="344" spans="1:20" ht="15.75" customHeight="1" x14ac:dyDescent="0.2">
      <c r="A344" s="6">
        <v>344</v>
      </c>
      <c r="C344" s="1">
        <v>70</v>
      </c>
      <c r="D344" s="1">
        <v>8</v>
      </c>
      <c r="E344" s="1">
        <v>8.5</v>
      </c>
      <c r="F344" s="1" t="s">
        <v>48</v>
      </c>
      <c r="G344" s="1" t="s">
        <v>190</v>
      </c>
      <c r="H344" s="1" t="s">
        <v>249</v>
      </c>
      <c r="J344" s="9">
        <f t="shared" si="12"/>
        <v>116.19999999999999</v>
      </c>
      <c r="K344" s="1">
        <v>1300</v>
      </c>
      <c r="L344" s="1" t="s">
        <v>10</v>
      </c>
      <c r="N344" s="1" t="s">
        <v>212</v>
      </c>
      <c r="P344" s="1" t="s">
        <v>234</v>
      </c>
      <c r="S344" s="1">
        <f t="shared" si="11"/>
        <v>116.19999999999999</v>
      </c>
      <c r="T344" s="1">
        <v>36.5</v>
      </c>
    </row>
    <row r="345" spans="1:20" ht="15.75" customHeight="1" x14ac:dyDescent="0.2">
      <c r="A345" s="6">
        <v>345</v>
      </c>
      <c r="C345" s="1">
        <v>70</v>
      </c>
      <c r="D345" s="1">
        <v>8.5</v>
      </c>
      <c r="E345" s="1">
        <v>7.5</v>
      </c>
      <c r="F345" s="1" t="s">
        <v>186</v>
      </c>
      <c r="G345" s="1" t="s">
        <v>200</v>
      </c>
      <c r="H345" s="1" t="s">
        <v>255</v>
      </c>
      <c r="J345" s="9">
        <f t="shared" si="12"/>
        <v>184.3</v>
      </c>
      <c r="K345" s="1">
        <v>1300</v>
      </c>
      <c r="L345" s="1" t="s">
        <v>10</v>
      </c>
      <c r="N345" s="1" t="s">
        <v>228</v>
      </c>
      <c r="P345" s="1" t="s">
        <v>234</v>
      </c>
      <c r="S345" s="1">
        <f t="shared" si="11"/>
        <v>184.3</v>
      </c>
      <c r="T345" s="1">
        <v>57.9</v>
      </c>
    </row>
    <row r="346" spans="1:20" ht="15.75" customHeight="1" x14ac:dyDescent="0.2">
      <c r="A346" s="6">
        <v>346</v>
      </c>
      <c r="C346" s="1">
        <v>70</v>
      </c>
      <c r="D346" s="1">
        <v>9.1999999999999993</v>
      </c>
      <c r="E346" s="1">
        <v>6</v>
      </c>
      <c r="F346" s="1" t="s">
        <v>114</v>
      </c>
      <c r="G346" s="1" t="s">
        <v>185</v>
      </c>
      <c r="H346" s="1" t="s">
        <v>36</v>
      </c>
      <c r="J346" s="9">
        <f t="shared" si="12"/>
        <v>485.4</v>
      </c>
      <c r="K346" s="1">
        <v>1300</v>
      </c>
      <c r="L346" s="1" t="s">
        <v>10</v>
      </c>
      <c r="N346" s="1" t="s">
        <v>216</v>
      </c>
      <c r="P346" s="1" t="s">
        <v>234</v>
      </c>
      <c r="S346" s="1">
        <f t="shared" si="11"/>
        <v>485.4</v>
      </c>
      <c r="T346" s="1">
        <v>152.5</v>
      </c>
    </row>
    <row r="347" spans="1:20" ht="15.75" customHeight="1" x14ac:dyDescent="0.2">
      <c r="A347" s="6">
        <v>347</v>
      </c>
      <c r="C347" s="1">
        <v>70</v>
      </c>
      <c r="D347" s="1">
        <v>9.1999999999999993</v>
      </c>
      <c r="E347" s="1">
        <v>7</v>
      </c>
      <c r="F347" s="1" t="s">
        <v>12</v>
      </c>
      <c r="G347" s="1" t="s">
        <v>183</v>
      </c>
      <c r="H347" s="1" t="s">
        <v>380</v>
      </c>
      <c r="J347" s="9">
        <f t="shared" si="12"/>
        <v>118.4</v>
      </c>
      <c r="K347" s="1">
        <v>1300</v>
      </c>
      <c r="L347" s="1" t="s">
        <v>34</v>
      </c>
      <c r="N347" s="1" t="s">
        <v>219</v>
      </c>
      <c r="P347" s="1" t="s">
        <v>234</v>
      </c>
      <c r="Q347" s="1" t="s">
        <v>42</v>
      </c>
      <c r="R347" s="1" t="s">
        <v>13</v>
      </c>
      <c r="S347" s="1">
        <f t="shared" si="11"/>
        <v>118.4</v>
      </c>
      <c r="T347" s="1">
        <v>37.200000000000003</v>
      </c>
    </row>
    <row r="348" spans="1:20" ht="15.75" customHeight="1" x14ac:dyDescent="0.2">
      <c r="A348" s="6">
        <v>348</v>
      </c>
      <c r="C348" s="1">
        <v>70</v>
      </c>
      <c r="D348" s="1">
        <v>9.6999999999999993</v>
      </c>
      <c r="E348" s="1">
        <v>2.5</v>
      </c>
      <c r="F348" s="1" t="s">
        <v>12</v>
      </c>
      <c r="G348" s="1" t="s">
        <v>183</v>
      </c>
      <c r="H348" s="1" t="s">
        <v>380</v>
      </c>
      <c r="J348" s="9">
        <f t="shared" si="12"/>
        <v>112.4</v>
      </c>
      <c r="K348" s="1">
        <v>1300</v>
      </c>
      <c r="L348" s="1" t="s">
        <v>10</v>
      </c>
      <c r="N348" s="1" t="s">
        <v>219</v>
      </c>
      <c r="P348" s="1" t="s">
        <v>234</v>
      </c>
      <c r="Q348" s="1" t="s">
        <v>42</v>
      </c>
      <c r="R348" s="1" t="s">
        <v>13</v>
      </c>
      <c r="S348" s="1">
        <f t="shared" si="11"/>
        <v>112.4</v>
      </c>
      <c r="T348" s="1">
        <v>35.299999999999997</v>
      </c>
    </row>
    <row r="349" spans="1:20" ht="15.75" customHeight="1" x14ac:dyDescent="0.2">
      <c r="A349" s="6">
        <v>349</v>
      </c>
      <c r="C349" s="1">
        <v>71</v>
      </c>
      <c r="D349" s="1">
        <v>1.3</v>
      </c>
      <c r="E349" s="1">
        <v>8.5</v>
      </c>
      <c r="F349" s="1" t="s">
        <v>12</v>
      </c>
      <c r="G349" s="1" t="s">
        <v>183</v>
      </c>
      <c r="H349" s="1" t="s">
        <v>380</v>
      </c>
      <c r="J349" s="9">
        <f t="shared" si="12"/>
        <v>109.2</v>
      </c>
      <c r="K349" s="1">
        <v>1300</v>
      </c>
      <c r="L349" s="1" t="s">
        <v>34</v>
      </c>
      <c r="N349" s="1" t="s">
        <v>219</v>
      </c>
      <c r="P349" s="1" t="s">
        <v>234</v>
      </c>
      <c r="Q349" s="1" t="s">
        <v>42</v>
      </c>
      <c r="R349" s="1" t="s">
        <v>13</v>
      </c>
      <c r="S349" s="1">
        <f t="shared" si="11"/>
        <v>109.2</v>
      </c>
      <c r="T349" s="1">
        <v>34.299999999999997</v>
      </c>
    </row>
    <row r="350" spans="1:20" ht="15.75" customHeight="1" x14ac:dyDescent="0.2">
      <c r="A350" s="6">
        <v>350</v>
      </c>
      <c r="B350" s="1">
        <v>350</v>
      </c>
      <c r="C350" s="1">
        <v>71</v>
      </c>
      <c r="D350" s="1">
        <v>1</v>
      </c>
      <c r="E350" s="1">
        <v>8.5</v>
      </c>
      <c r="F350" s="1" t="s">
        <v>93</v>
      </c>
      <c r="G350" s="1" t="s">
        <v>94</v>
      </c>
      <c r="H350" s="1" t="s">
        <v>235</v>
      </c>
      <c r="J350" s="9">
        <f t="shared" si="12"/>
        <v>161.1</v>
      </c>
      <c r="K350" s="1">
        <v>1300</v>
      </c>
      <c r="L350" s="1" t="s">
        <v>147</v>
      </c>
      <c r="N350" s="14" t="s">
        <v>299</v>
      </c>
      <c r="P350" s="1" t="s">
        <v>234</v>
      </c>
      <c r="Q350" s="1" t="s">
        <v>35</v>
      </c>
      <c r="S350" s="1">
        <f t="shared" si="11"/>
        <v>161.1</v>
      </c>
      <c r="T350" s="1">
        <v>50.6</v>
      </c>
    </row>
    <row r="351" spans="1:20" ht="15.75" customHeight="1" x14ac:dyDescent="0.2">
      <c r="A351" s="6">
        <v>351</v>
      </c>
      <c r="B351" s="1">
        <v>350</v>
      </c>
      <c r="C351" s="1">
        <v>71</v>
      </c>
      <c r="D351" s="1">
        <v>1</v>
      </c>
      <c r="E351" s="1">
        <v>8.5</v>
      </c>
      <c r="F351" s="1" t="s">
        <v>93</v>
      </c>
      <c r="G351" s="1" t="s">
        <v>94</v>
      </c>
      <c r="H351" s="1" t="s">
        <v>235</v>
      </c>
      <c r="J351" s="9">
        <f t="shared" si="12"/>
        <v>100.60000000000001</v>
      </c>
      <c r="K351" s="1">
        <v>1300</v>
      </c>
      <c r="L351" s="1" t="s">
        <v>138</v>
      </c>
      <c r="N351" s="14" t="s">
        <v>299</v>
      </c>
      <c r="P351" s="1" t="s">
        <v>234</v>
      </c>
      <c r="Q351" s="1" t="s">
        <v>26</v>
      </c>
      <c r="S351" s="1">
        <f t="shared" si="11"/>
        <v>100.60000000000001</v>
      </c>
      <c r="T351" s="1">
        <v>31.6</v>
      </c>
    </row>
    <row r="352" spans="1:20" ht="15.75" customHeight="1" x14ac:dyDescent="0.2">
      <c r="A352" s="6">
        <v>352</v>
      </c>
      <c r="C352" s="1">
        <v>71</v>
      </c>
      <c r="D352" s="1">
        <v>7</v>
      </c>
      <c r="E352" s="1">
        <v>6</v>
      </c>
      <c r="F352" s="1" t="s">
        <v>12</v>
      </c>
      <c r="G352" s="1" t="s">
        <v>183</v>
      </c>
      <c r="H352" s="1" t="s">
        <v>380</v>
      </c>
      <c r="J352" s="9">
        <f t="shared" si="12"/>
        <v>135</v>
      </c>
      <c r="K352" s="1">
        <v>1300</v>
      </c>
      <c r="L352" s="1" t="s">
        <v>10</v>
      </c>
      <c r="N352" s="1" t="s">
        <v>219</v>
      </c>
      <c r="P352" s="1" t="s">
        <v>234</v>
      </c>
      <c r="Q352" s="1" t="s">
        <v>42</v>
      </c>
      <c r="R352" s="1" t="s">
        <v>13</v>
      </c>
      <c r="S352" s="1">
        <f t="shared" si="11"/>
        <v>135</v>
      </c>
      <c r="T352" s="1">
        <v>42.4</v>
      </c>
    </row>
    <row r="353" spans="1:20" ht="15.75" customHeight="1" x14ac:dyDescent="0.2">
      <c r="A353" s="6">
        <v>353</v>
      </c>
      <c r="C353" s="1">
        <v>72</v>
      </c>
      <c r="D353" s="1">
        <v>6.5</v>
      </c>
      <c r="E353" s="1">
        <v>5.5</v>
      </c>
      <c r="F353" s="1" t="s">
        <v>278</v>
      </c>
      <c r="G353" s="1" t="s">
        <v>16</v>
      </c>
      <c r="H353" s="1" t="s">
        <v>148</v>
      </c>
      <c r="J353" s="9">
        <f t="shared" si="12"/>
        <v>127</v>
      </c>
      <c r="K353" s="1">
        <v>1300</v>
      </c>
      <c r="L353" s="1" t="s">
        <v>149</v>
      </c>
      <c r="N353" s="14" t="s">
        <v>307</v>
      </c>
      <c r="P353" s="1" t="s">
        <v>32</v>
      </c>
      <c r="S353" s="1">
        <f t="shared" si="11"/>
        <v>127</v>
      </c>
      <c r="T353" s="1">
        <v>39.9</v>
      </c>
    </row>
    <row r="354" spans="1:20" ht="15.75" customHeight="1" x14ac:dyDescent="0.2">
      <c r="A354" s="6">
        <v>354</v>
      </c>
      <c r="C354" s="1">
        <v>72</v>
      </c>
      <c r="D354" s="1">
        <v>3.5</v>
      </c>
      <c r="E354" s="1">
        <v>5</v>
      </c>
      <c r="F354" s="1" t="s">
        <v>12</v>
      </c>
      <c r="G354" s="1" t="s">
        <v>183</v>
      </c>
      <c r="H354" s="1" t="s">
        <v>380</v>
      </c>
      <c r="J354" s="9">
        <f t="shared" si="12"/>
        <v>172.5</v>
      </c>
      <c r="K354" s="1">
        <v>1300</v>
      </c>
      <c r="L354" s="1" t="s">
        <v>34</v>
      </c>
      <c r="N354" s="1" t="s">
        <v>219</v>
      </c>
      <c r="P354" s="1" t="s">
        <v>234</v>
      </c>
      <c r="Q354" s="1" t="s">
        <v>42</v>
      </c>
      <c r="R354" s="1" t="s">
        <v>13</v>
      </c>
      <c r="S354" s="1">
        <f t="shared" si="11"/>
        <v>172.5</v>
      </c>
      <c r="T354" s="1">
        <v>54.2</v>
      </c>
    </row>
    <row r="355" spans="1:20" ht="15.75" customHeight="1" x14ac:dyDescent="0.2">
      <c r="A355" s="6">
        <v>355</v>
      </c>
      <c r="C355" s="1">
        <v>72</v>
      </c>
      <c r="D355" s="1">
        <v>7</v>
      </c>
      <c r="E355" s="1">
        <v>3</v>
      </c>
      <c r="F355" s="1" t="s">
        <v>54</v>
      </c>
      <c r="G355" s="1" t="s">
        <v>274</v>
      </c>
      <c r="H355" s="1" t="s">
        <v>37</v>
      </c>
      <c r="J355" s="9">
        <f t="shared" si="12"/>
        <v>142.89999999999998</v>
      </c>
      <c r="K355" s="1">
        <v>1300</v>
      </c>
      <c r="L355" s="1" t="s">
        <v>10</v>
      </c>
      <c r="N355" s="14" t="s">
        <v>318</v>
      </c>
      <c r="P355" s="1" t="s">
        <v>234</v>
      </c>
      <c r="S355" s="1">
        <f t="shared" si="11"/>
        <v>142.89999999999998</v>
      </c>
      <c r="T355" s="1">
        <v>44.9</v>
      </c>
    </row>
    <row r="356" spans="1:20" ht="15.75" customHeight="1" x14ac:dyDescent="0.2">
      <c r="A356" s="6">
        <v>356</v>
      </c>
      <c r="C356" s="1">
        <v>72</v>
      </c>
      <c r="D356" s="1">
        <v>9</v>
      </c>
      <c r="E356" s="1">
        <v>2.5</v>
      </c>
      <c r="F356" s="1" t="s">
        <v>20</v>
      </c>
      <c r="G356" s="1" t="s">
        <v>405</v>
      </c>
      <c r="H356" s="1" t="s">
        <v>47</v>
      </c>
      <c r="J356" s="9">
        <f t="shared" si="12"/>
        <v>409.7</v>
      </c>
      <c r="K356" s="1">
        <v>1300</v>
      </c>
      <c r="L356" s="1" t="s">
        <v>10</v>
      </c>
      <c r="S356" s="1">
        <f t="shared" si="11"/>
        <v>409.7</v>
      </c>
      <c r="T356" s="1">
        <v>128.69999999999999</v>
      </c>
    </row>
    <row r="357" spans="1:20" ht="15.75" customHeight="1" x14ac:dyDescent="0.2">
      <c r="A357" s="6">
        <v>357</v>
      </c>
      <c r="C357" s="1">
        <v>73</v>
      </c>
      <c r="D357" s="1">
        <v>2</v>
      </c>
      <c r="E357" s="1">
        <v>9</v>
      </c>
      <c r="F357" s="1" t="s">
        <v>9</v>
      </c>
      <c r="G357" s="1" t="s">
        <v>181</v>
      </c>
      <c r="H357" s="1" t="s">
        <v>258</v>
      </c>
      <c r="J357" s="9">
        <f t="shared" si="12"/>
        <v>183</v>
      </c>
      <c r="K357" s="1">
        <v>1300</v>
      </c>
      <c r="L357" s="1" t="s">
        <v>19</v>
      </c>
      <c r="N357" s="1" t="s">
        <v>221</v>
      </c>
      <c r="P357" s="1" t="s">
        <v>234</v>
      </c>
      <c r="Q357" s="1" t="s">
        <v>150</v>
      </c>
      <c r="S357" s="1">
        <f t="shared" si="11"/>
        <v>183</v>
      </c>
      <c r="T357" s="1">
        <v>57.5</v>
      </c>
    </row>
    <row r="358" spans="1:20" ht="15.75" customHeight="1" x14ac:dyDescent="0.2">
      <c r="A358" s="6">
        <v>358</v>
      </c>
      <c r="C358" s="1">
        <v>73</v>
      </c>
      <c r="D358" s="1">
        <v>6</v>
      </c>
      <c r="E358" s="1">
        <v>7.5</v>
      </c>
      <c r="F358" s="1" t="s">
        <v>22</v>
      </c>
      <c r="G358" s="1" t="s">
        <v>324</v>
      </c>
      <c r="H358" s="1" t="s">
        <v>23</v>
      </c>
      <c r="J358" s="9">
        <f t="shared" si="12"/>
        <v>191.29999999999998</v>
      </c>
      <c r="K358" s="1">
        <v>1300</v>
      </c>
      <c r="L358" s="1" t="s">
        <v>19</v>
      </c>
      <c r="N358" s="14" t="s">
        <v>327</v>
      </c>
      <c r="P358" s="1" t="s">
        <v>234</v>
      </c>
      <c r="Q358" s="1" t="s">
        <v>151</v>
      </c>
      <c r="S358" s="1">
        <f t="shared" si="11"/>
        <v>191.29999999999998</v>
      </c>
      <c r="T358" s="1">
        <v>60.1</v>
      </c>
    </row>
    <row r="359" spans="1:20" ht="15.75" customHeight="1" x14ac:dyDescent="0.2">
      <c r="A359" s="6">
        <v>359</v>
      </c>
      <c r="C359" s="1">
        <v>74</v>
      </c>
      <c r="D359" s="1">
        <v>4</v>
      </c>
      <c r="E359" s="1">
        <v>8</v>
      </c>
      <c r="F359" s="1" t="s">
        <v>20</v>
      </c>
      <c r="G359" s="1" t="s">
        <v>134</v>
      </c>
      <c r="H359" s="1" t="s">
        <v>375</v>
      </c>
      <c r="J359" s="9">
        <f t="shared" si="12"/>
        <v>217.7</v>
      </c>
      <c r="K359" s="1">
        <v>1300</v>
      </c>
      <c r="L359" s="1" t="s">
        <v>10</v>
      </c>
      <c r="S359" s="1">
        <f t="shared" si="11"/>
        <v>217.7</v>
      </c>
      <c r="T359" s="1">
        <v>68.400000000000006</v>
      </c>
    </row>
    <row r="360" spans="1:20" ht="15.75" customHeight="1" x14ac:dyDescent="0.2">
      <c r="A360" s="6">
        <v>360</v>
      </c>
      <c r="C360" s="1">
        <v>74</v>
      </c>
      <c r="D360" s="1">
        <v>5</v>
      </c>
      <c r="E360" s="1">
        <v>6</v>
      </c>
      <c r="F360" s="1" t="s">
        <v>15</v>
      </c>
      <c r="G360" s="1" t="s">
        <v>16</v>
      </c>
      <c r="H360" s="1" t="s">
        <v>152</v>
      </c>
      <c r="J360" s="9">
        <f t="shared" si="12"/>
        <v>136.19999999999999</v>
      </c>
      <c r="K360" s="1">
        <v>1300</v>
      </c>
      <c r="L360" s="1" t="s">
        <v>10</v>
      </c>
      <c r="N360" s="14" t="s">
        <v>305</v>
      </c>
      <c r="P360" s="1" t="s">
        <v>32</v>
      </c>
      <c r="S360" s="1">
        <f t="shared" si="11"/>
        <v>136.19999999999999</v>
      </c>
      <c r="T360" s="1">
        <v>42.8</v>
      </c>
    </row>
    <row r="361" spans="1:20" ht="15.75" customHeight="1" x14ac:dyDescent="0.2">
      <c r="A361" s="6">
        <v>361</v>
      </c>
      <c r="C361" s="1">
        <v>74</v>
      </c>
      <c r="D361" s="1">
        <v>4.5</v>
      </c>
      <c r="E361" s="1">
        <v>3.5</v>
      </c>
      <c r="F361" s="1" t="s">
        <v>39</v>
      </c>
      <c r="G361" s="1" t="s">
        <v>201</v>
      </c>
      <c r="H361" s="1" t="s">
        <v>387</v>
      </c>
      <c r="J361" s="9">
        <f t="shared" si="12"/>
        <v>241.29999999999998</v>
      </c>
      <c r="K361" s="1">
        <v>1300</v>
      </c>
      <c r="L361" s="1" t="s">
        <v>5</v>
      </c>
      <c r="N361" s="1" t="s">
        <v>211</v>
      </c>
      <c r="P361" s="1" t="s">
        <v>234</v>
      </c>
      <c r="S361" s="1">
        <f t="shared" si="11"/>
        <v>241.29999999999998</v>
      </c>
      <c r="T361" s="1">
        <v>75.8</v>
      </c>
    </row>
    <row r="362" spans="1:20" ht="15.75" customHeight="1" x14ac:dyDescent="0.2">
      <c r="A362" s="6">
        <v>362</v>
      </c>
      <c r="C362" s="1">
        <v>74</v>
      </c>
      <c r="D362" s="1">
        <v>0.5</v>
      </c>
      <c r="E362" s="1">
        <v>4</v>
      </c>
      <c r="F362" s="1" t="s">
        <v>39</v>
      </c>
      <c r="G362" s="1" t="s">
        <v>153</v>
      </c>
      <c r="H362" s="1" t="s">
        <v>386</v>
      </c>
      <c r="J362" s="9">
        <f t="shared" si="12"/>
        <v>89.1</v>
      </c>
      <c r="K362" s="1">
        <v>1300</v>
      </c>
      <c r="L362" s="1" t="s">
        <v>10</v>
      </c>
      <c r="N362" s="14" t="s">
        <v>329</v>
      </c>
      <c r="P362" s="1" t="s">
        <v>234</v>
      </c>
      <c r="R362" s="1" t="s">
        <v>154</v>
      </c>
      <c r="S362" s="1">
        <f t="shared" si="11"/>
        <v>89.1</v>
      </c>
      <c r="T362" s="1">
        <v>28</v>
      </c>
    </row>
    <row r="363" spans="1:20" ht="15.75" customHeight="1" x14ac:dyDescent="0.2">
      <c r="A363" s="6">
        <v>363</v>
      </c>
      <c r="C363" s="1">
        <v>76</v>
      </c>
      <c r="D363" s="1">
        <v>5</v>
      </c>
      <c r="E363" s="1">
        <v>9.8000000000000007</v>
      </c>
      <c r="F363" s="1" t="s">
        <v>20</v>
      </c>
      <c r="G363" s="1" t="s">
        <v>134</v>
      </c>
      <c r="H363" s="1" t="s">
        <v>375</v>
      </c>
      <c r="J363" s="9">
        <f t="shared" si="12"/>
        <v>222.2</v>
      </c>
      <c r="K363" s="1">
        <v>1300</v>
      </c>
      <c r="L363" s="1" t="s">
        <v>10</v>
      </c>
      <c r="S363" s="1">
        <f t="shared" si="11"/>
        <v>222.2</v>
      </c>
      <c r="T363" s="1">
        <v>69.8</v>
      </c>
    </row>
    <row r="364" spans="1:20" ht="15.75" customHeight="1" x14ac:dyDescent="0.2">
      <c r="A364" s="6">
        <v>364</v>
      </c>
      <c r="C364" s="1">
        <v>76</v>
      </c>
      <c r="D364" s="1">
        <v>3.5</v>
      </c>
      <c r="E364" s="1">
        <v>8</v>
      </c>
      <c r="F364" s="1" t="s">
        <v>54</v>
      </c>
      <c r="G364" s="1" t="s">
        <v>16</v>
      </c>
      <c r="H364" s="1" t="s">
        <v>266</v>
      </c>
      <c r="J364" s="9">
        <f t="shared" si="12"/>
        <v>176</v>
      </c>
      <c r="K364" s="1">
        <v>1300</v>
      </c>
      <c r="L364" s="1" t="s">
        <v>10</v>
      </c>
      <c r="N364" s="14" t="s">
        <v>304</v>
      </c>
      <c r="P364" s="1" t="s">
        <v>234</v>
      </c>
      <c r="S364" s="1">
        <f t="shared" si="11"/>
        <v>176</v>
      </c>
      <c r="T364" s="1">
        <v>55.3</v>
      </c>
    </row>
    <row r="365" spans="1:20" ht="15.75" customHeight="1" x14ac:dyDescent="0.2">
      <c r="A365" s="6">
        <v>365</v>
      </c>
      <c r="C365" s="1">
        <v>76</v>
      </c>
      <c r="D365" s="1">
        <v>1.2</v>
      </c>
      <c r="E365" s="1">
        <v>6</v>
      </c>
      <c r="F365" s="1" t="s">
        <v>65</v>
      </c>
      <c r="G365" s="1" t="s">
        <v>182</v>
      </c>
      <c r="H365" s="1" t="s">
        <v>66</v>
      </c>
      <c r="J365" s="9">
        <f t="shared" si="12"/>
        <v>289.7</v>
      </c>
      <c r="K365" s="1">
        <v>1300</v>
      </c>
      <c r="L365" s="1" t="s">
        <v>10</v>
      </c>
      <c r="N365" s="1" t="s">
        <v>213</v>
      </c>
      <c r="P365" s="1" t="s">
        <v>234</v>
      </c>
      <c r="S365" s="1">
        <f t="shared" si="11"/>
        <v>289.7</v>
      </c>
      <c r="T365" s="1">
        <v>91</v>
      </c>
    </row>
    <row r="366" spans="1:20" ht="15.75" customHeight="1" x14ac:dyDescent="0.2">
      <c r="A366" s="6">
        <v>366</v>
      </c>
      <c r="C366" s="1">
        <v>76</v>
      </c>
      <c r="D366" s="1">
        <v>7</v>
      </c>
      <c r="E366" s="1">
        <v>1.4</v>
      </c>
      <c r="F366" s="1" t="s">
        <v>83</v>
      </c>
      <c r="G366" s="1" t="s">
        <v>369</v>
      </c>
      <c r="H366" s="1" t="s">
        <v>155</v>
      </c>
      <c r="J366" s="9">
        <f t="shared" si="12"/>
        <v>380.09999999999997</v>
      </c>
      <c r="K366" s="1">
        <v>1300</v>
      </c>
      <c r="L366" s="1" t="s">
        <v>10</v>
      </c>
      <c r="N366" s="14" t="s">
        <v>326</v>
      </c>
      <c r="P366" s="1" t="s">
        <v>32</v>
      </c>
      <c r="S366" s="1">
        <f t="shared" si="11"/>
        <v>380.09999999999997</v>
      </c>
      <c r="T366" s="1">
        <v>119.4</v>
      </c>
    </row>
    <row r="367" spans="1:20" ht="15.75" customHeight="1" x14ac:dyDescent="0.2">
      <c r="A367" s="6">
        <v>367</v>
      </c>
      <c r="C367" s="1">
        <v>76</v>
      </c>
      <c r="D367" s="1">
        <v>9</v>
      </c>
      <c r="E367" s="1">
        <v>3.5</v>
      </c>
      <c r="F367" s="1" t="s">
        <v>39</v>
      </c>
      <c r="G367" s="1" t="s">
        <v>400</v>
      </c>
      <c r="H367" s="1" t="s">
        <v>264</v>
      </c>
      <c r="J367" s="9">
        <f t="shared" si="12"/>
        <v>248.29999999999998</v>
      </c>
      <c r="K367" s="1">
        <v>1300</v>
      </c>
      <c r="L367" s="1" t="s">
        <v>71</v>
      </c>
      <c r="N367" s="1" t="s">
        <v>211</v>
      </c>
      <c r="P367" s="1" t="s">
        <v>234</v>
      </c>
      <c r="S367" s="1">
        <f t="shared" si="11"/>
        <v>248.29999999999998</v>
      </c>
      <c r="T367" s="1">
        <v>78</v>
      </c>
    </row>
    <row r="368" spans="1:20" ht="15.75" customHeight="1" x14ac:dyDescent="0.2">
      <c r="A368" s="6">
        <v>368</v>
      </c>
      <c r="C368" s="1">
        <v>77</v>
      </c>
      <c r="D368" s="1">
        <v>8.5</v>
      </c>
      <c r="E368" s="1">
        <v>4</v>
      </c>
      <c r="F368" s="1" t="s">
        <v>68</v>
      </c>
      <c r="G368" s="1" t="s">
        <v>399</v>
      </c>
      <c r="H368" s="1" t="s">
        <v>135</v>
      </c>
      <c r="J368" s="9">
        <f t="shared" si="12"/>
        <v>127.6</v>
      </c>
      <c r="K368" s="1">
        <v>1300</v>
      </c>
      <c r="L368" s="1" t="s">
        <v>28</v>
      </c>
      <c r="N368" s="1" t="s">
        <v>215</v>
      </c>
      <c r="P368" s="1" t="s">
        <v>234</v>
      </c>
      <c r="S368" s="1">
        <f t="shared" si="11"/>
        <v>127.6</v>
      </c>
      <c r="T368" s="1">
        <v>40.1</v>
      </c>
    </row>
    <row r="369" spans="1:20" ht="15.75" customHeight="1" x14ac:dyDescent="0.2">
      <c r="A369" s="6">
        <v>369</v>
      </c>
      <c r="C369" s="1">
        <v>77</v>
      </c>
      <c r="D369" s="1">
        <v>5</v>
      </c>
      <c r="E369" s="1">
        <v>4</v>
      </c>
      <c r="F369" s="1" t="s">
        <v>12</v>
      </c>
      <c r="G369" s="1" t="s">
        <v>183</v>
      </c>
      <c r="H369" s="1" t="s">
        <v>380</v>
      </c>
      <c r="J369" s="9">
        <f t="shared" si="12"/>
        <v>139.1</v>
      </c>
      <c r="K369" s="1">
        <v>1300</v>
      </c>
      <c r="L369" s="1" t="s">
        <v>10</v>
      </c>
      <c r="N369" s="1" t="s">
        <v>219</v>
      </c>
      <c r="P369" s="1" t="s">
        <v>234</v>
      </c>
      <c r="Q369" s="1" t="s">
        <v>42</v>
      </c>
      <c r="S369" s="1">
        <f t="shared" si="11"/>
        <v>139.1</v>
      </c>
      <c r="T369" s="1">
        <v>43.7</v>
      </c>
    </row>
    <row r="370" spans="1:20" ht="15.75" customHeight="1" x14ac:dyDescent="0.2">
      <c r="A370" s="6">
        <v>370</v>
      </c>
      <c r="C370" s="1">
        <v>77</v>
      </c>
      <c r="D370" s="1">
        <v>3.5</v>
      </c>
      <c r="E370" s="1">
        <v>5</v>
      </c>
      <c r="F370" s="1" t="s">
        <v>48</v>
      </c>
      <c r="G370" s="1" t="s">
        <v>189</v>
      </c>
      <c r="H370" s="1" t="s">
        <v>49</v>
      </c>
      <c r="J370" s="9">
        <f t="shared" si="12"/>
        <v>118.4</v>
      </c>
      <c r="K370" s="1">
        <v>1300</v>
      </c>
      <c r="L370" s="1" t="s">
        <v>34</v>
      </c>
      <c r="N370" s="1" t="s">
        <v>208</v>
      </c>
      <c r="P370" s="1" t="s">
        <v>234</v>
      </c>
      <c r="S370" s="1">
        <f t="shared" si="11"/>
        <v>118.4</v>
      </c>
      <c r="T370" s="1">
        <v>37.200000000000003</v>
      </c>
    </row>
    <row r="371" spans="1:20" ht="15.75" customHeight="1" x14ac:dyDescent="0.2">
      <c r="A371" s="6">
        <v>371</v>
      </c>
      <c r="C371" s="1">
        <v>77</v>
      </c>
      <c r="D371" s="1">
        <v>1.5</v>
      </c>
      <c r="E371" s="1">
        <v>5</v>
      </c>
      <c r="F371" s="1" t="s">
        <v>186</v>
      </c>
      <c r="G371" s="1" t="s">
        <v>200</v>
      </c>
      <c r="H371" s="1" t="s">
        <v>255</v>
      </c>
      <c r="J371" s="9">
        <f t="shared" si="12"/>
        <v>117.8</v>
      </c>
      <c r="K371" s="1">
        <v>1300</v>
      </c>
      <c r="L371" s="1" t="s">
        <v>34</v>
      </c>
      <c r="N371" s="1" t="s">
        <v>228</v>
      </c>
      <c r="P371" s="1" t="s">
        <v>234</v>
      </c>
      <c r="S371" s="1">
        <f t="shared" si="11"/>
        <v>117.8</v>
      </c>
      <c r="T371" s="1">
        <v>37</v>
      </c>
    </row>
    <row r="372" spans="1:20" ht="15.75" customHeight="1" x14ac:dyDescent="0.2">
      <c r="A372" s="6">
        <v>372</v>
      </c>
      <c r="C372" s="1">
        <v>77</v>
      </c>
      <c r="D372" s="1">
        <v>2</v>
      </c>
      <c r="E372" s="1">
        <v>1.8</v>
      </c>
      <c r="F372" s="1" t="s">
        <v>12</v>
      </c>
      <c r="G372" s="1" t="s">
        <v>183</v>
      </c>
      <c r="H372" s="1" t="s">
        <v>380</v>
      </c>
      <c r="J372" s="9">
        <f t="shared" si="12"/>
        <v>138.80000000000001</v>
      </c>
      <c r="K372" s="1">
        <v>1300</v>
      </c>
      <c r="L372" s="1" t="s">
        <v>10</v>
      </c>
      <c r="N372" s="1" t="s">
        <v>219</v>
      </c>
      <c r="P372" s="1" t="s">
        <v>234</v>
      </c>
      <c r="Q372" s="1" t="s">
        <v>42</v>
      </c>
      <c r="S372" s="1">
        <f t="shared" si="11"/>
        <v>138.80000000000001</v>
      </c>
      <c r="T372" s="1">
        <v>43.6</v>
      </c>
    </row>
    <row r="373" spans="1:20" ht="15.75" customHeight="1" x14ac:dyDescent="0.2">
      <c r="A373" s="6">
        <v>373</v>
      </c>
      <c r="C373" s="1">
        <v>78</v>
      </c>
      <c r="D373" s="1">
        <v>5</v>
      </c>
      <c r="E373" s="1">
        <v>8.5</v>
      </c>
      <c r="F373" s="1" t="s">
        <v>86</v>
      </c>
      <c r="G373" s="1" t="s">
        <v>197</v>
      </c>
      <c r="H373" s="1" t="s">
        <v>250</v>
      </c>
      <c r="J373" s="9">
        <f t="shared" si="12"/>
        <v>240.6</v>
      </c>
      <c r="K373" s="1">
        <v>1300</v>
      </c>
      <c r="L373" s="1" t="s">
        <v>10</v>
      </c>
      <c r="N373" s="1" t="s">
        <v>218</v>
      </c>
      <c r="P373" s="1" t="s">
        <v>234</v>
      </c>
      <c r="S373" s="1">
        <f t="shared" si="11"/>
        <v>240.6</v>
      </c>
      <c r="T373" s="1">
        <v>75.599999999999994</v>
      </c>
    </row>
    <row r="374" spans="1:20" ht="15.75" customHeight="1" x14ac:dyDescent="0.2">
      <c r="A374" s="6">
        <v>374</v>
      </c>
      <c r="C374" s="1">
        <v>78</v>
      </c>
      <c r="D374" s="1">
        <v>4</v>
      </c>
      <c r="E374" s="1">
        <v>7</v>
      </c>
      <c r="F374" s="1" t="s">
        <v>48</v>
      </c>
      <c r="G374" s="1" t="s">
        <v>189</v>
      </c>
      <c r="H374" s="1" t="s">
        <v>49</v>
      </c>
      <c r="J374" s="9">
        <f t="shared" si="12"/>
        <v>157.89999999999998</v>
      </c>
      <c r="K374" s="1">
        <v>1300</v>
      </c>
      <c r="L374" s="1" t="s">
        <v>55</v>
      </c>
      <c r="N374" s="1" t="s">
        <v>208</v>
      </c>
      <c r="P374" s="1" t="s">
        <v>234</v>
      </c>
      <c r="Q374" s="1" t="s">
        <v>156</v>
      </c>
      <c r="S374" s="1">
        <f t="shared" si="11"/>
        <v>157.89999999999998</v>
      </c>
      <c r="T374" s="1">
        <v>49.6</v>
      </c>
    </row>
    <row r="375" spans="1:20" ht="15.75" customHeight="1" x14ac:dyDescent="0.2">
      <c r="A375" s="6">
        <v>375</v>
      </c>
      <c r="C375" s="1">
        <v>78</v>
      </c>
      <c r="D375" s="1">
        <v>0.3</v>
      </c>
      <c r="E375" s="1">
        <v>6</v>
      </c>
      <c r="F375" s="1" t="s">
        <v>39</v>
      </c>
      <c r="G375" s="1" t="s">
        <v>395</v>
      </c>
      <c r="H375" s="1" t="s">
        <v>332</v>
      </c>
      <c r="J375" s="9">
        <f t="shared" si="12"/>
        <v>677</v>
      </c>
      <c r="K375" s="1">
        <v>1300</v>
      </c>
      <c r="L375" s="1" t="s">
        <v>10</v>
      </c>
      <c r="N375" s="14" t="s">
        <v>336</v>
      </c>
      <c r="P375" s="1" t="s">
        <v>32</v>
      </c>
      <c r="S375" s="1">
        <f t="shared" si="11"/>
        <v>677</v>
      </c>
      <c r="T375" s="1">
        <v>212.7</v>
      </c>
    </row>
    <row r="376" spans="1:20" ht="15.75" customHeight="1" x14ac:dyDescent="0.2">
      <c r="A376" s="6">
        <v>376</v>
      </c>
      <c r="C376" s="1">
        <v>78</v>
      </c>
      <c r="D376" s="1">
        <v>2</v>
      </c>
      <c r="E376" s="1">
        <v>3.5</v>
      </c>
      <c r="F376" s="1" t="s">
        <v>86</v>
      </c>
      <c r="G376" s="1" t="s">
        <v>197</v>
      </c>
      <c r="H376" s="1" t="s">
        <v>250</v>
      </c>
      <c r="J376" s="9">
        <f t="shared" si="12"/>
        <v>170.6</v>
      </c>
      <c r="K376" s="1">
        <v>1300</v>
      </c>
      <c r="L376" s="1" t="s">
        <v>10</v>
      </c>
      <c r="N376" s="1" t="s">
        <v>218</v>
      </c>
      <c r="P376" s="1" t="s">
        <v>234</v>
      </c>
      <c r="S376" s="1">
        <f t="shared" si="11"/>
        <v>170.6</v>
      </c>
      <c r="T376" s="1">
        <v>53.6</v>
      </c>
    </row>
    <row r="377" spans="1:20" ht="15.75" customHeight="1" x14ac:dyDescent="0.2">
      <c r="A377" s="6">
        <v>377</v>
      </c>
      <c r="C377" s="1">
        <v>78</v>
      </c>
      <c r="D377" s="1">
        <v>5</v>
      </c>
      <c r="E377" s="1">
        <v>3</v>
      </c>
      <c r="F377" s="1" t="s">
        <v>48</v>
      </c>
      <c r="G377" s="1" t="s">
        <v>189</v>
      </c>
      <c r="H377" s="1" t="s">
        <v>49</v>
      </c>
      <c r="J377" s="9">
        <f t="shared" si="12"/>
        <v>149.60000000000002</v>
      </c>
      <c r="K377" s="1">
        <v>1300</v>
      </c>
      <c r="L377" s="1" t="s">
        <v>34</v>
      </c>
      <c r="N377" s="1" t="s">
        <v>208</v>
      </c>
      <c r="P377" s="1" t="s">
        <v>234</v>
      </c>
      <c r="S377" s="1">
        <f t="shared" si="11"/>
        <v>149.60000000000002</v>
      </c>
      <c r="T377" s="1">
        <v>47</v>
      </c>
    </row>
    <row r="378" spans="1:20" ht="15.75" customHeight="1" x14ac:dyDescent="0.2">
      <c r="A378" s="6">
        <v>378</v>
      </c>
      <c r="C378" s="1">
        <v>78</v>
      </c>
      <c r="D378" s="1">
        <v>2</v>
      </c>
      <c r="E378" s="1">
        <v>1.5</v>
      </c>
      <c r="F378" s="1" t="s">
        <v>39</v>
      </c>
      <c r="G378" s="1" t="s">
        <v>201</v>
      </c>
      <c r="H378" s="1" t="s">
        <v>387</v>
      </c>
      <c r="J378" s="9">
        <f t="shared" si="12"/>
        <v>107.6</v>
      </c>
      <c r="K378" s="1">
        <v>1300</v>
      </c>
      <c r="L378" s="1" t="s">
        <v>34</v>
      </c>
      <c r="N378" s="1" t="s">
        <v>211</v>
      </c>
      <c r="P378" s="1" t="s">
        <v>234</v>
      </c>
      <c r="S378" s="1">
        <f t="shared" si="11"/>
        <v>107.6</v>
      </c>
      <c r="T378" s="1">
        <v>33.799999999999997</v>
      </c>
    </row>
    <row r="379" spans="1:20" ht="15.75" customHeight="1" x14ac:dyDescent="0.2">
      <c r="A379" s="6">
        <v>379</v>
      </c>
      <c r="C379" s="1">
        <v>78</v>
      </c>
      <c r="D379" s="1">
        <v>8.5</v>
      </c>
      <c r="E379" s="1">
        <v>1.2</v>
      </c>
      <c r="F379" s="1" t="s">
        <v>93</v>
      </c>
      <c r="G379" s="1" t="s">
        <v>94</v>
      </c>
      <c r="H379" s="1" t="s">
        <v>235</v>
      </c>
      <c r="J379" s="9">
        <f t="shared" si="12"/>
        <v>165.5</v>
      </c>
      <c r="K379" s="1">
        <v>1300</v>
      </c>
      <c r="L379" s="1" t="s">
        <v>10</v>
      </c>
      <c r="N379" s="14" t="s">
        <v>300</v>
      </c>
      <c r="P379" s="1" t="s">
        <v>32</v>
      </c>
      <c r="Q379" s="1" t="s">
        <v>26</v>
      </c>
      <c r="S379" s="1">
        <f t="shared" si="11"/>
        <v>165.5</v>
      </c>
      <c r="T379" s="1">
        <v>52</v>
      </c>
    </row>
    <row r="380" spans="1:20" ht="15.75" customHeight="1" x14ac:dyDescent="0.2">
      <c r="A380" s="6">
        <v>380</v>
      </c>
      <c r="C380" s="1">
        <v>78</v>
      </c>
      <c r="D380" s="1">
        <v>8.56</v>
      </c>
      <c r="E380" s="1">
        <v>5.5</v>
      </c>
      <c r="F380" s="1" t="s">
        <v>12</v>
      </c>
      <c r="G380" s="1" t="s">
        <v>183</v>
      </c>
      <c r="H380" s="1" t="s">
        <v>380</v>
      </c>
      <c r="J380" s="9">
        <f t="shared" si="12"/>
        <v>109.5</v>
      </c>
      <c r="K380" s="1">
        <v>1300</v>
      </c>
      <c r="L380" s="1" t="s">
        <v>10</v>
      </c>
      <c r="N380" s="1" t="s">
        <v>219</v>
      </c>
      <c r="P380" s="1" t="s">
        <v>234</v>
      </c>
      <c r="Q380" s="1" t="s">
        <v>42</v>
      </c>
      <c r="S380" s="1">
        <f t="shared" si="11"/>
        <v>109.5</v>
      </c>
      <c r="T380" s="1">
        <v>34.4</v>
      </c>
    </row>
    <row r="381" spans="1:20" ht="15.75" customHeight="1" x14ac:dyDescent="0.2">
      <c r="A381" s="6">
        <v>381</v>
      </c>
      <c r="C381" s="1">
        <v>78</v>
      </c>
      <c r="D381" s="1">
        <v>9.5</v>
      </c>
      <c r="E381" s="1">
        <v>4.5</v>
      </c>
      <c r="F381" s="1" t="s">
        <v>12</v>
      </c>
      <c r="G381" s="1" t="s">
        <v>183</v>
      </c>
      <c r="H381" s="1" t="s">
        <v>380</v>
      </c>
      <c r="J381" s="9">
        <f t="shared" si="12"/>
        <v>105.7</v>
      </c>
      <c r="K381" s="1">
        <v>1300</v>
      </c>
      <c r="L381" s="1" t="s">
        <v>10</v>
      </c>
      <c r="N381" s="1" t="s">
        <v>219</v>
      </c>
      <c r="P381" s="1" t="s">
        <v>234</v>
      </c>
      <c r="Q381" s="1" t="s">
        <v>42</v>
      </c>
      <c r="S381" s="1">
        <f t="shared" si="11"/>
        <v>105.7</v>
      </c>
      <c r="T381" s="1">
        <v>33.200000000000003</v>
      </c>
    </row>
    <row r="382" spans="1:20" ht="15.75" customHeight="1" x14ac:dyDescent="0.2">
      <c r="A382" s="6">
        <v>382</v>
      </c>
      <c r="C382" s="1">
        <v>79</v>
      </c>
      <c r="D382" s="1">
        <v>5</v>
      </c>
      <c r="E382" s="1">
        <v>4.5</v>
      </c>
      <c r="F382" s="1" t="s">
        <v>48</v>
      </c>
      <c r="G382" s="1" t="s">
        <v>189</v>
      </c>
      <c r="H382" s="1" t="s">
        <v>49</v>
      </c>
      <c r="J382" s="9">
        <f t="shared" si="12"/>
        <v>159.80000000000001</v>
      </c>
      <c r="K382" s="1">
        <v>1300</v>
      </c>
      <c r="L382" s="1" t="s">
        <v>10</v>
      </c>
      <c r="N382" s="1" t="s">
        <v>208</v>
      </c>
      <c r="P382" s="1" t="s">
        <v>234</v>
      </c>
      <c r="S382" s="1">
        <f t="shared" si="11"/>
        <v>159.80000000000001</v>
      </c>
      <c r="T382" s="1">
        <v>50.2</v>
      </c>
    </row>
    <row r="383" spans="1:20" ht="15.75" customHeight="1" x14ac:dyDescent="0.2">
      <c r="A383" s="6">
        <v>383</v>
      </c>
      <c r="C383" s="1">
        <v>79</v>
      </c>
      <c r="D383" s="1">
        <v>2</v>
      </c>
      <c r="E383" s="1">
        <v>4</v>
      </c>
      <c r="F383" s="1" t="s">
        <v>12</v>
      </c>
      <c r="G383" s="1" t="s">
        <v>183</v>
      </c>
      <c r="H383" s="1" t="s">
        <v>380</v>
      </c>
      <c r="J383" s="9">
        <f t="shared" si="12"/>
        <v>115.19999999999999</v>
      </c>
      <c r="K383" s="1">
        <v>1300</v>
      </c>
      <c r="L383" s="1" t="s">
        <v>10</v>
      </c>
      <c r="N383" s="1" t="s">
        <v>219</v>
      </c>
      <c r="P383" s="1" t="s">
        <v>234</v>
      </c>
      <c r="Q383" s="1" t="s">
        <v>42</v>
      </c>
      <c r="S383" s="1">
        <f t="shared" si="11"/>
        <v>115.19999999999999</v>
      </c>
      <c r="T383" s="1">
        <v>36.200000000000003</v>
      </c>
    </row>
    <row r="384" spans="1:20" ht="15.75" customHeight="1" x14ac:dyDescent="0.2">
      <c r="A384" s="6">
        <v>384</v>
      </c>
      <c r="C384" s="1">
        <v>79</v>
      </c>
      <c r="D384" s="1">
        <v>0.2</v>
      </c>
      <c r="E384" s="1">
        <v>3.5</v>
      </c>
      <c r="F384" s="1" t="s">
        <v>12</v>
      </c>
      <c r="G384" s="1" t="s">
        <v>183</v>
      </c>
      <c r="H384" s="1" t="s">
        <v>380</v>
      </c>
      <c r="J384" s="9">
        <f t="shared" si="12"/>
        <v>150.19999999999999</v>
      </c>
      <c r="K384" s="1">
        <v>1300</v>
      </c>
      <c r="L384" s="1" t="s">
        <v>10</v>
      </c>
      <c r="N384" s="1" t="s">
        <v>219</v>
      </c>
      <c r="P384" s="1" t="s">
        <v>234</v>
      </c>
      <c r="Q384" s="1" t="s">
        <v>42</v>
      </c>
      <c r="S384" s="1">
        <f t="shared" si="11"/>
        <v>150.19999999999999</v>
      </c>
      <c r="T384" s="1">
        <v>47.2</v>
      </c>
    </row>
    <row r="385" spans="1:20" ht="15.75" customHeight="1" x14ac:dyDescent="0.2">
      <c r="A385" s="6">
        <v>385</v>
      </c>
      <c r="C385" s="1">
        <v>79</v>
      </c>
      <c r="D385" s="1">
        <v>0.2</v>
      </c>
      <c r="E385" s="1">
        <v>5</v>
      </c>
      <c r="F385" s="1" t="s">
        <v>20</v>
      </c>
      <c r="G385" s="1" t="s">
        <v>134</v>
      </c>
      <c r="H385" s="1" t="s">
        <v>375</v>
      </c>
      <c r="J385" s="9">
        <f t="shared" si="12"/>
        <v>201.20000000000002</v>
      </c>
      <c r="K385" s="1">
        <v>1300</v>
      </c>
      <c r="L385" s="1" t="s">
        <v>10</v>
      </c>
      <c r="S385" s="1">
        <f t="shared" si="11"/>
        <v>201.20000000000002</v>
      </c>
      <c r="T385" s="1">
        <v>63.2</v>
      </c>
    </row>
    <row r="386" spans="1:20" ht="15.75" customHeight="1" x14ac:dyDescent="0.2">
      <c r="A386" s="6">
        <v>386</v>
      </c>
      <c r="C386" s="1">
        <v>79</v>
      </c>
      <c r="D386" s="1">
        <v>3.5</v>
      </c>
      <c r="E386" s="1">
        <v>2.5</v>
      </c>
      <c r="F386" s="1" t="s">
        <v>48</v>
      </c>
      <c r="G386" s="1" t="s">
        <v>190</v>
      </c>
      <c r="H386" s="1" t="s">
        <v>249</v>
      </c>
      <c r="J386" s="9">
        <f t="shared" si="12"/>
        <v>291.60000000000002</v>
      </c>
      <c r="K386" s="1">
        <v>1300</v>
      </c>
      <c r="L386" s="1" t="s">
        <v>10</v>
      </c>
      <c r="N386" s="1" t="s">
        <v>212</v>
      </c>
      <c r="P386" s="1" t="s">
        <v>234</v>
      </c>
      <c r="S386" s="1">
        <f t="shared" si="11"/>
        <v>291.60000000000002</v>
      </c>
      <c r="T386" s="1">
        <v>91.6</v>
      </c>
    </row>
    <row r="387" spans="1:20" ht="15.75" customHeight="1" x14ac:dyDescent="0.2">
      <c r="A387" s="6">
        <v>387</v>
      </c>
      <c r="B387" s="1">
        <v>387</v>
      </c>
      <c r="C387" s="1">
        <v>79</v>
      </c>
      <c r="D387" s="1">
        <v>9.1999999999999993</v>
      </c>
      <c r="E387" s="1">
        <v>1.5</v>
      </c>
      <c r="F387" s="1" t="s">
        <v>68</v>
      </c>
      <c r="G387" s="1" t="s">
        <v>16</v>
      </c>
      <c r="H387" s="1" t="s">
        <v>157</v>
      </c>
      <c r="J387" s="9">
        <f t="shared" si="12"/>
        <v>224.7</v>
      </c>
      <c r="K387" s="1">
        <v>1300</v>
      </c>
      <c r="L387" s="1" t="s">
        <v>138</v>
      </c>
      <c r="N387" s="14" t="s">
        <v>338</v>
      </c>
      <c r="P387" s="1" t="s">
        <v>32</v>
      </c>
      <c r="S387" s="1">
        <f t="shared" si="11"/>
        <v>224.7</v>
      </c>
      <c r="T387" s="1">
        <v>70.599999999999994</v>
      </c>
    </row>
    <row r="388" spans="1:20" ht="15.75" customHeight="1" x14ac:dyDescent="0.2">
      <c r="A388" s="6">
        <v>388</v>
      </c>
      <c r="B388" s="1">
        <v>387</v>
      </c>
      <c r="C388" s="1">
        <v>79</v>
      </c>
      <c r="D388" s="1">
        <v>3.5</v>
      </c>
      <c r="E388" s="1">
        <v>1.5</v>
      </c>
      <c r="F388" s="1" t="s">
        <v>68</v>
      </c>
      <c r="G388" s="1" t="s">
        <v>16</v>
      </c>
      <c r="H388" s="1" t="s">
        <v>157</v>
      </c>
      <c r="J388" s="9">
        <f t="shared" si="12"/>
        <v>205.3</v>
      </c>
      <c r="K388" s="1">
        <v>1300</v>
      </c>
      <c r="L388" s="1" t="s">
        <v>138</v>
      </c>
      <c r="N388" s="14" t="s">
        <v>338</v>
      </c>
      <c r="P388" s="1" t="s">
        <v>234</v>
      </c>
      <c r="S388" s="1">
        <f t="shared" si="11"/>
        <v>205.3</v>
      </c>
      <c r="T388" s="1">
        <v>64.5</v>
      </c>
    </row>
    <row r="389" spans="1:20" ht="15.75" customHeight="1" x14ac:dyDescent="0.2">
      <c r="A389" s="6">
        <v>389</v>
      </c>
      <c r="C389" s="1">
        <v>80</v>
      </c>
      <c r="D389" s="1">
        <v>3.5</v>
      </c>
      <c r="E389" s="1">
        <v>8</v>
      </c>
      <c r="F389" s="1" t="s">
        <v>15</v>
      </c>
      <c r="G389" s="1" t="s">
        <v>16</v>
      </c>
      <c r="H389" s="1" t="s">
        <v>268</v>
      </c>
      <c r="J389" s="9">
        <f t="shared" si="12"/>
        <v>174.8</v>
      </c>
      <c r="K389" s="1">
        <v>1300</v>
      </c>
      <c r="L389" s="1" t="s">
        <v>10</v>
      </c>
      <c r="S389" s="1">
        <f t="shared" si="11"/>
        <v>174.8</v>
      </c>
      <c r="T389" s="1">
        <v>54.9</v>
      </c>
    </row>
    <row r="390" spans="1:20" ht="15.75" customHeight="1" x14ac:dyDescent="0.2">
      <c r="A390" s="6">
        <v>390</v>
      </c>
      <c r="C390" s="1">
        <v>80</v>
      </c>
      <c r="D390" s="1">
        <v>9.1999999999999993</v>
      </c>
      <c r="E390" s="1">
        <v>7.5</v>
      </c>
      <c r="F390" s="1" t="s">
        <v>22</v>
      </c>
      <c r="G390" s="1" t="s">
        <v>130</v>
      </c>
      <c r="H390" s="1" t="s">
        <v>62</v>
      </c>
      <c r="J390" s="9">
        <f t="shared" si="12"/>
        <v>123.5</v>
      </c>
      <c r="K390" s="1">
        <v>1300</v>
      </c>
      <c r="L390" s="1" t="s">
        <v>10</v>
      </c>
      <c r="N390" s="14" t="s">
        <v>322</v>
      </c>
      <c r="P390" s="1" t="s">
        <v>234</v>
      </c>
      <c r="S390" s="1">
        <f t="shared" si="11"/>
        <v>123.5</v>
      </c>
      <c r="T390" s="1">
        <v>38.799999999999997</v>
      </c>
    </row>
    <row r="391" spans="1:20" ht="15.75" customHeight="1" x14ac:dyDescent="0.2">
      <c r="A391" s="6">
        <v>391</v>
      </c>
      <c r="C391" s="1">
        <v>80</v>
      </c>
      <c r="D391" s="1">
        <v>3.5</v>
      </c>
      <c r="E391" s="1">
        <v>5</v>
      </c>
      <c r="F391" s="1" t="s">
        <v>68</v>
      </c>
      <c r="G391" s="1" t="s">
        <v>16</v>
      </c>
      <c r="H391" s="1" t="s">
        <v>252</v>
      </c>
      <c r="J391" s="9">
        <f t="shared" si="12"/>
        <v>107.6</v>
      </c>
      <c r="K391" s="1">
        <v>1300</v>
      </c>
      <c r="L391" s="1" t="s">
        <v>10</v>
      </c>
      <c r="N391" s="14" t="s">
        <v>341</v>
      </c>
      <c r="P391" s="1" t="s">
        <v>32</v>
      </c>
      <c r="S391" s="1">
        <f t="shared" ref="S391:S454" si="13">ROUND(T391/PI(), 2) * 10</f>
        <v>107.6</v>
      </c>
      <c r="T391" s="1">
        <v>33.799999999999997</v>
      </c>
    </row>
    <row r="392" spans="1:20" ht="15.75" customHeight="1" x14ac:dyDescent="0.2">
      <c r="A392" s="6">
        <v>392</v>
      </c>
      <c r="C392" s="1">
        <v>80</v>
      </c>
      <c r="D392" s="1">
        <v>3</v>
      </c>
      <c r="E392" s="1">
        <v>4.5</v>
      </c>
      <c r="F392" s="1" t="s">
        <v>48</v>
      </c>
      <c r="G392" s="1" t="s">
        <v>190</v>
      </c>
      <c r="H392" s="1" t="s">
        <v>249</v>
      </c>
      <c r="J392" s="9">
        <f t="shared" si="12"/>
        <v>100.3</v>
      </c>
      <c r="K392" s="1">
        <v>1300</v>
      </c>
      <c r="L392" s="1" t="s">
        <v>140</v>
      </c>
      <c r="N392" s="1" t="s">
        <v>212</v>
      </c>
      <c r="P392" s="1" t="s">
        <v>234</v>
      </c>
      <c r="S392" s="1">
        <f t="shared" si="13"/>
        <v>100.3</v>
      </c>
      <c r="T392" s="1">
        <v>31.5</v>
      </c>
    </row>
    <row r="393" spans="1:20" ht="15.75" customHeight="1" x14ac:dyDescent="0.2">
      <c r="A393" s="6">
        <v>393</v>
      </c>
      <c r="C393" s="1">
        <v>80</v>
      </c>
      <c r="D393" s="1">
        <v>0.1</v>
      </c>
      <c r="E393" s="1">
        <v>3</v>
      </c>
      <c r="F393" s="1" t="s">
        <v>12</v>
      </c>
      <c r="G393" s="1" t="s">
        <v>183</v>
      </c>
      <c r="H393" s="1" t="s">
        <v>380</v>
      </c>
      <c r="J393" s="9">
        <f t="shared" si="12"/>
        <v>109.80000000000001</v>
      </c>
      <c r="K393" s="1">
        <v>1300</v>
      </c>
      <c r="L393" s="1" t="s">
        <v>10</v>
      </c>
      <c r="N393" s="1" t="s">
        <v>219</v>
      </c>
      <c r="P393" s="1" t="s">
        <v>234</v>
      </c>
      <c r="Q393" s="1" t="s">
        <v>42</v>
      </c>
      <c r="S393" s="1">
        <f t="shared" si="13"/>
        <v>109.80000000000001</v>
      </c>
      <c r="T393" s="1">
        <v>34.5</v>
      </c>
    </row>
    <row r="394" spans="1:20" ht="15.75" customHeight="1" x14ac:dyDescent="0.2">
      <c r="A394" s="6">
        <v>394</v>
      </c>
      <c r="C394" s="1">
        <v>80</v>
      </c>
      <c r="D394" s="1">
        <v>2.2000000000000002</v>
      </c>
      <c r="E394" s="1">
        <v>1</v>
      </c>
      <c r="F394" s="1" t="s">
        <v>12</v>
      </c>
      <c r="G394" s="1" t="s">
        <v>183</v>
      </c>
      <c r="H394" s="1" t="s">
        <v>380</v>
      </c>
      <c r="J394" s="9">
        <f t="shared" si="12"/>
        <v>116.8</v>
      </c>
      <c r="K394" s="1">
        <v>1300</v>
      </c>
      <c r="L394" s="1" t="s">
        <v>10</v>
      </c>
      <c r="N394" s="1" t="s">
        <v>219</v>
      </c>
      <c r="P394" s="1" t="s">
        <v>234</v>
      </c>
      <c r="Q394" s="1" t="s">
        <v>42</v>
      </c>
      <c r="S394" s="1">
        <f t="shared" si="13"/>
        <v>116.8</v>
      </c>
      <c r="T394" s="1">
        <v>36.700000000000003</v>
      </c>
    </row>
    <row r="395" spans="1:20" ht="15.75" customHeight="1" x14ac:dyDescent="0.2">
      <c r="A395" s="6">
        <v>395</v>
      </c>
      <c r="C395" s="1">
        <v>80</v>
      </c>
      <c r="D395" s="1">
        <v>6</v>
      </c>
      <c r="E395" s="1">
        <v>3.2</v>
      </c>
      <c r="F395" s="1" t="s">
        <v>20</v>
      </c>
      <c r="G395" s="1" t="s">
        <v>405</v>
      </c>
      <c r="H395" s="1" t="s">
        <v>47</v>
      </c>
      <c r="J395" s="9">
        <f t="shared" si="12"/>
        <v>318.60000000000002</v>
      </c>
      <c r="K395" s="1">
        <v>1300</v>
      </c>
      <c r="L395" s="1" t="s">
        <v>10</v>
      </c>
      <c r="S395" s="1">
        <f t="shared" si="13"/>
        <v>318.60000000000002</v>
      </c>
      <c r="T395" s="1">
        <v>100.1</v>
      </c>
    </row>
    <row r="396" spans="1:20" ht="15.75" customHeight="1" x14ac:dyDescent="0.2">
      <c r="A396" s="6">
        <v>396</v>
      </c>
      <c r="C396" s="1">
        <v>80</v>
      </c>
      <c r="D396" s="1">
        <v>9.6999999999999993</v>
      </c>
      <c r="E396" s="1">
        <v>1.2</v>
      </c>
      <c r="F396" s="1" t="s">
        <v>39</v>
      </c>
      <c r="G396" s="1" t="s">
        <v>282</v>
      </c>
      <c r="H396" s="1" t="s">
        <v>333</v>
      </c>
      <c r="J396" s="9">
        <f t="shared" ref="J396:J459" si="14">S396</f>
        <v>276</v>
      </c>
      <c r="K396" s="1">
        <v>1300</v>
      </c>
      <c r="L396" s="1" t="s">
        <v>55</v>
      </c>
      <c r="N396" s="14" t="s">
        <v>306</v>
      </c>
      <c r="P396" s="1" t="s">
        <v>32</v>
      </c>
      <c r="S396" s="1">
        <f t="shared" si="13"/>
        <v>276</v>
      </c>
      <c r="T396" s="1">
        <v>86.7</v>
      </c>
    </row>
    <row r="397" spans="1:20" ht="15.75" customHeight="1" x14ac:dyDescent="0.2">
      <c r="A397" s="6">
        <v>397</v>
      </c>
      <c r="C397" s="1">
        <v>81</v>
      </c>
      <c r="D397" s="1">
        <v>8.5</v>
      </c>
      <c r="E397" s="1">
        <v>0.5</v>
      </c>
      <c r="F397" s="1" t="s">
        <v>86</v>
      </c>
      <c r="G397" s="1" t="s">
        <v>197</v>
      </c>
      <c r="H397" s="1" t="s">
        <v>250</v>
      </c>
      <c r="J397" s="9">
        <f t="shared" si="14"/>
        <v>219</v>
      </c>
      <c r="K397" s="1">
        <v>1300</v>
      </c>
      <c r="L397" s="1" t="s">
        <v>34</v>
      </c>
      <c r="N397" s="1" t="s">
        <v>218</v>
      </c>
      <c r="P397" s="1" t="s">
        <v>234</v>
      </c>
      <c r="S397" s="1">
        <f t="shared" si="13"/>
        <v>219</v>
      </c>
      <c r="T397" s="1">
        <v>68.8</v>
      </c>
    </row>
    <row r="398" spans="1:20" ht="15.75" customHeight="1" x14ac:dyDescent="0.2">
      <c r="A398" s="6">
        <v>398</v>
      </c>
      <c r="C398" s="1">
        <v>81</v>
      </c>
      <c r="D398" s="1">
        <v>4</v>
      </c>
      <c r="E398" s="1">
        <v>2</v>
      </c>
      <c r="F398" s="1" t="s">
        <v>86</v>
      </c>
      <c r="G398" s="1" t="s">
        <v>197</v>
      </c>
      <c r="H398" s="1" t="s">
        <v>250</v>
      </c>
      <c r="J398" s="9">
        <f t="shared" si="14"/>
        <v>193.5</v>
      </c>
      <c r="K398" s="1">
        <v>1300</v>
      </c>
      <c r="L398" s="1" t="s">
        <v>10</v>
      </c>
      <c r="N398" s="1" t="s">
        <v>218</v>
      </c>
      <c r="P398" s="1" t="s">
        <v>234</v>
      </c>
      <c r="S398" s="1">
        <f t="shared" si="13"/>
        <v>193.5</v>
      </c>
      <c r="T398" s="1">
        <v>60.8</v>
      </c>
    </row>
    <row r="399" spans="1:20" ht="15.75" customHeight="1" x14ac:dyDescent="0.2">
      <c r="A399" s="6">
        <v>399</v>
      </c>
      <c r="C399" s="1">
        <v>81</v>
      </c>
      <c r="D399" s="1">
        <v>4.5</v>
      </c>
      <c r="E399" s="1">
        <v>4.5</v>
      </c>
      <c r="F399" s="1" t="s">
        <v>12</v>
      </c>
      <c r="G399" s="1" t="s">
        <v>183</v>
      </c>
      <c r="H399" s="1" t="s">
        <v>380</v>
      </c>
      <c r="J399" s="9">
        <f t="shared" si="14"/>
        <v>105</v>
      </c>
      <c r="K399" s="1">
        <v>1300</v>
      </c>
      <c r="L399" s="1" t="s">
        <v>10</v>
      </c>
      <c r="N399" s="1" t="s">
        <v>219</v>
      </c>
      <c r="P399" s="1" t="s">
        <v>234</v>
      </c>
      <c r="Q399" s="1" t="s">
        <v>42</v>
      </c>
      <c r="S399" s="1">
        <f t="shared" si="13"/>
        <v>105</v>
      </c>
      <c r="T399" s="1">
        <v>33</v>
      </c>
    </row>
    <row r="400" spans="1:20" ht="15.75" customHeight="1" x14ac:dyDescent="0.2">
      <c r="A400" s="6">
        <v>400</v>
      </c>
      <c r="C400" s="1">
        <v>81</v>
      </c>
      <c r="D400" s="1">
        <v>7</v>
      </c>
      <c r="E400" s="1">
        <v>9.5</v>
      </c>
      <c r="F400" s="1" t="s">
        <v>15</v>
      </c>
      <c r="G400" s="1" t="s">
        <v>16</v>
      </c>
      <c r="H400" s="1" t="s">
        <v>158</v>
      </c>
      <c r="J400" s="9">
        <f t="shared" si="14"/>
        <v>366.70000000000005</v>
      </c>
      <c r="K400" s="1">
        <v>1300</v>
      </c>
      <c r="L400" s="1" t="s">
        <v>10</v>
      </c>
      <c r="N400" s="14" t="s">
        <v>340</v>
      </c>
      <c r="P400" s="1" t="s">
        <v>32</v>
      </c>
      <c r="S400" s="1">
        <f t="shared" si="13"/>
        <v>366.70000000000005</v>
      </c>
      <c r="T400" s="1">
        <v>115.2</v>
      </c>
    </row>
    <row r="401" spans="1:20" ht="15.75" customHeight="1" x14ac:dyDescent="0.2">
      <c r="A401" s="6">
        <v>401</v>
      </c>
      <c r="C401" s="1">
        <v>81</v>
      </c>
      <c r="D401" s="1">
        <v>2</v>
      </c>
      <c r="E401" s="1">
        <v>9.6</v>
      </c>
      <c r="F401" s="1" t="s">
        <v>48</v>
      </c>
      <c r="G401" s="1" t="s">
        <v>190</v>
      </c>
      <c r="H401" s="1" t="s">
        <v>249</v>
      </c>
      <c r="J401" s="9">
        <f t="shared" si="14"/>
        <v>130.80000000000001</v>
      </c>
      <c r="K401" s="1">
        <v>1300</v>
      </c>
      <c r="L401" s="1" t="s">
        <v>10</v>
      </c>
      <c r="N401" s="1" t="s">
        <v>212</v>
      </c>
      <c r="P401" s="1" t="s">
        <v>234</v>
      </c>
      <c r="S401" s="1">
        <f t="shared" si="13"/>
        <v>130.80000000000001</v>
      </c>
      <c r="T401" s="1">
        <v>41.1</v>
      </c>
    </row>
    <row r="402" spans="1:20" ht="15.75" customHeight="1" x14ac:dyDescent="0.2">
      <c r="A402" s="6">
        <v>402</v>
      </c>
      <c r="C402" s="1">
        <v>81</v>
      </c>
      <c r="D402" s="1">
        <v>1.5</v>
      </c>
      <c r="E402" s="1">
        <v>9.9</v>
      </c>
      <c r="F402" s="1" t="s">
        <v>198</v>
      </c>
      <c r="G402" s="1" t="s">
        <v>199</v>
      </c>
      <c r="H402" s="1" t="s">
        <v>390</v>
      </c>
      <c r="J402" s="9">
        <f t="shared" si="14"/>
        <v>104.7</v>
      </c>
      <c r="K402" s="1">
        <v>1300</v>
      </c>
      <c r="L402" s="1" t="s">
        <v>10</v>
      </c>
      <c r="N402" s="1" t="s">
        <v>220</v>
      </c>
      <c r="P402" s="1" t="s">
        <v>234</v>
      </c>
      <c r="S402" s="1">
        <f t="shared" si="13"/>
        <v>104.7</v>
      </c>
      <c r="T402" s="1">
        <v>32.9</v>
      </c>
    </row>
    <row r="403" spans="1:20" ht="15.75" customHeight="1" x14ac:dyDescent="0.2">
      <c r="A403" s="6">
        <v>403</v>
      </c>
      <c r="C403" s="1">
        <v>82</v>
      </c>
      <c r="D403" s="1">
        <v>7</v>
      </c>
      <c r="E403" s="1">
        <v>0.3</v>
      </c>
      <c r="F403" s="1" t="s">
        <v>48</v>
      </c>
      <c r="G403" s="1" t="s">
        <v>190</v>
      </c>
      <c r="H403" s="1" t="s">
        <v>249</v>
      </c>
      <c r="J403" s="9">
        <f t="shared" si="14"/>
        <v>131.5</v>
      </c>
      <c r="K403" s="1">
        <v>1300</v>
      </c>
      <c r="L403" s="1" t="s">
        <v>10</v>
      </c>
      <c r="N403" s="1" t="s">
        <v>212</v>
      </c>
      <c r="P403" s="1" t="s">
        <v>234</v>
      </c>
      <c r="S403" s="1">
        <f t="shared" si="13"/>
        <v>131.5</v>
      </c>
      <c r="T403" s="1">
        <v>41.3</v>
      </c>
    </row>
    <row r="404" spans="1:20" ht="15.75" customHeight="1" x14ac:dyDescent="0.2">
      <c r="A404" s="6">
        <v>404</v>
      </c>
      <c r="C404" s="1">
        <v>82</v>
      </c>
      <c r="D404" s="1">
        <v>4</v>
      </c>
      <c r="E404" s="1">
        <v>5</v>
      </c>
      <c r="F404" s="1" t="s">
        <v>12</v>
      </c>
      <c r="G404" s="1" t="s">
        <v>183</v>
      </c>
      <c r="H404" s="1" t="s">
        <v>380</v>
      </c>
      <c r="J404" s="9">
        <f t="shared" si="14"/>
        <v>151.5</v>
      </c>
      <c r="K404" s="1">
        <v>1300</v>
      </c>
      <c r="L404" s="1" t="s">
        <v>10</v>
      </c>
      <c r="N404" s="1" t="s">
        <v>219</v>
      </c>
      <c r="P404" s="1" t="s">
        <v>234</v>
      </c>
      <c r="Q404" s="1" t="s">
        <v>42</v>
      </c>
      <c r="S404" s="1">
        <f t="shared" si="13"/>
        <v>151.5</v>
      </c>
      <c r="T404" s="1">
        <v>47.6</v>
      </c>
    </row>
    <row r="405" spans="1:20" ht="15.75" customHeight="1" x14ac:dyDescent="0.2">
      <c r="A405" s="6">
        <v>405</v>
      </c>
      <c r="C405" s="1">
        <v>82</v>
      </c>
      <c r="D405" s="1">
        <v>7</v>
      </c>
      <c r="E405" s="1">
        <v>7</v>
      </c>
      <c r="F405" s="1" t="s">
        <v>12</v>
      </c>
      <c r="G405" s="1" t="s">
        <v>183</v>
      </c>
      <c r="H405" s="1" t="s">
        <v>380</v>
      </c>
      <c r="J405" s="9">
        <f t="shared" si="14"/>
        <v>134</v>
      </c>
      <c r="K405" s="1">
        <v>1300</v>
      </c>
      <c r="L405" s="1" t="s">
        <v>19</v>
      </c>
      <c r="N405" s="1" t="s">
        <v>219</v>
      </c>
      <c r="P405" s="1" t="s">
        <v>234</v>
      </c>
      <c r="Q405" s="1" t="s">
        <v>159</v>
      </c>
      <c r="S405" s="1">
        <f t="shared" si="13"/>
        <v>134</v>
      </c>
      <c r="T405" s="1">
        <v>42.1</v>
      </c>
    </row>
    <row r="406" spans="1:20" ht="15.75" customHeight="1" x14ac:dyDescent="0.2">
      <c r="A406" s="6">
        <v>406</v>
      </c>
      <c r="C406" s="1">
        <v>82</v>
      </c>
      <c r="D406" s="1">
        <v>9</v>
      </c>
      <c r="E406" s="1">
        <v>6.5</v>
      </c>
      <c r="F406" s="1" t="s">
        <v>12</v>
      </c>
      <c r="G406" s="1" t="s">
        <v>183</v>
      </c>
      <c r="H406" s="1" t="s">
        <v>380</v>
      </c>
      <c r="J406" s="9">
        <f t="shared" si="14"/>
        <v>134.60000000000002</v>
      </c>
      <c r="K406" s="1">
        <v>1300</v>
      </c>
      <c r="L406" s="1" t="s">
        <v>10</v>
      </c>
      <c r="N406" s="1" t="s">
        <v>219</v>
      </c>
      <c r="P406" s="1" t="s">
        <v>234</v>
      </c>
      <c r="Q406" s="1" t="s">
        <v>42</v>
      </c>
      <c r="S406" s="1">
        <f t="shared" si="13"/>
        <v>134.60000000000002</v>
      </c>
      <c r="T406" s="1">
        <v>42.3</v>
      </c>
    </row>
    <row r="407" spans="1:20" ht="15.75" customHeight="1" x14ac:dyDescent="0.2">
      <c r="A407" s="6">
        <v>407</v>
      </c>
      <c r="C407" s="1">
        <v>82</v>
      </c>
      <c r="D407" s="1">
        <v>6.5</v>
      </c>
      <c r="E407" s="1">
        <v>8.1999999999999993</v>
      </c>
      <c r="F407" s="1" t="s">
        <v>22</v>
      </c>
      <c r="G407" s="1" t="s">
        <v>195</v>
      </c>
      <c r="H407" s="1" t="s">
        <v>30</v>
      </c>
      <c r="J407" s="9">
        <f t="shared" si="14"/>
        <v>142</v>
      </c>
      <c r="K407" s="1">
        <v>1300</v>
      </c>
      <c r="L407" s="1" t="s">
        <v>10</v>
      </c>
      <c r="N407" s="1" t="s">
        <v>202</v>
      </c>
      <c r="P407" s="1" t="s">
        <v>234</v>
      </c>
      <c r="S407" s="1">
        <f t="shared" si="13"/>
        <v>142</v>
      </c>
      <c r="T407" s="1">
        <v>44.6</v>
      </c>
    </row>
    <row r="408" spans="1:20" ht="15.75" customHeight="1" x14ac:dyDescent="0.2">
      <c r="A408" s="6">
        <v>408</v>
      </c>
      <c r="C408" s="1">
        <v>83</v>
      </c>
      <c r="D408" s="1">
        <v>4</v>
      </c>
      <c r="E408" s="1">
        <v>1.3</v>
      </c>
      <c r="F408" s="1" t="s">
        <v>12</v>
      </c>
      <c r="G408" s="1" t="s">
        <v>183</v>
      </c>
      <c r="H408" s="1" t="s">
        <v>380</v>
      </c>
      <c r="J408" s="9">
        <f t="shared" si="14"/>
        <v>102.2</v>
      </c>
      <c r="K408" s="1">
        <v>1300</v>
      </c>
      <c r="L408" s="1" t="s">
        <v>19</v>
      </c>
      <c r="N408" s="1" t="s">
        <v>219</v>
      </c>
      <c r="P408" s="1" t="s">
        <v>234</v>
      </c>
      <c r="Q408" s="1" t="s">
        <v>144</v>
      </c>
      <c r="S408" s="1">
        <f t="shared" si="13"/>
        <v>102.2</v>
      </c>
      <c r="T408" s="1">
        <v>32.1</v>
      </c>
    </row>
    <row r="409" spans="1:20" ht="15.75" customHeight="1" x14ac:dyDescent="0.2">
      <c r="A409" s="6">
        <v>409</v>
      </c>
      <c r="C409" s="1">
        <v>83</v>
      </c>
      <c r="D409" s="1">
        <v>1.8</v>
      </c>
      <c r="E409" s="1">
        <v>3.5</v>
      </c>
      <c r="F409" s="1" t="s">
        <v>22</v>
      </c>
      <c r="G409" s="1" t="s">
        <v>195</v>
      </c>
      <c r="H409" s="1" t="s">
        <v>30</v>
      </c>
      <c r="J409" s="9">
        <f t="shared" si="14"/>
        <v>166.5</v>
      </c>
      <c r="K409" s="1">
        <v>1300</v>
      </c>
      <c r="L409" s="1" t="s">
        <v>19</v>
      </c>
      <c r="N409" s="1" t="s">
        <v>202</v>
      </c>
      <c r="P409" s="1" t="s">
        <v>234</v>
      </c>
      <c r="Q409" s="1" t="s">
        <v>160</v>
      </c>
      <c r="S409" s="1">
        <f t="shared" si="13"/>
        <v>166.5</v>
      </c>
      <c r="T409" s="1">
        <v>52.3</v>
      </c>
    </row>
    <row r="410" spans="1:20" ht="15.75" customHeight="1" x14ac:dyDescent="0.2">
      <c r="A410" s="6">
        <v>410</v>
      </c>
      <c r="C410" s="1">
        <v>83</v>
      </c>
      <c r="D410" s="1">
        <v>3.5</v>
      </c>
      <c r="E410" s="1">
        <v>4.5</v>
      </c>
      <c r="F410" s="1" t="s">
        <v>48</v>
      </c>
      <c r="G410" s="1" t="s">
        <v>189</v>
      </c>
      <c r="H410" s="1" t="s">
        <v>49</v>
      </c>
      <c r="J410" s="9">
        <f t="shared" si="14"/>
        <v>141.6</v>
      </c>
      <c r="K410" s="1">
        <v>1300</v>
      </c>
      <c r="L410" s="1" t="s">
        <v>10</v>
      </c>
      <c r="N410" s="1" t="s">
        <v>208</v>
      </c>
      <c r="P410" s="1" t="s">
        <v>234</v>
      </c>
      <c r="S410" s="1">
        <f t="shared" si="13"/>
        <v>141.6</v>
      </c>
      <c r="T410" s="1">
        <v>44.5</v>
      </c>
    </row>
    <row r="411" spans="1:20" ht="15.75" customHeight="1" x14ac:dyDescent="0.2">
      <c r="A411" s="6">
        <v>411</v>
      </c>
      <c r="C411" s="1">
        <v>83</v>
      </c>
      <c r="D411" s="1">
        <v>4.5</v>
      </c>
      <c r="E411" s="1">
        <v>5</v>
      </c>
      <c r="F411" s="1" t="s">
        <v>48</v>
      </c>
      <c r="G411" s="1" t="s">
        <v>190</v>
      </c>
      <c r="H411" s="1" t="s">
        <v>249</v>
      </c>
      <c r="J411" s="9">
        <f t="shared" si="14"/>
        <v>293.5</v>
      </c>
      <c r="K411" s="1">
        <v>1300</v>
      </c>
      <c r="L411" s="1" t="s">
        <v>10</v>
      </c>
      <c r="N411" s="1" t="s">
        <v>212</v>
      </c>
      <c r="P411" s="1" t="s">
        <v>234</v>
      </c>
      <c r="S411" s="1">
        <f t="shared" si="13"/>
        <v>293.5</v>
      </c>
      <c r="T411" s="1">
        <v>92.2</v>
      </c>
    </row>
    <row r="412" spans="1:20" ht="15.75" customHeight="1" x14ac:dyDescent="0.2">
      <c r="A412" s="6">
        <v>412</v>
      </c>
      <c r="C412" s="1">
        <v>83</v>
      </c>
      <c r="D412" s="1">
        <v>5</v>
      </c>
      <c r="E412" s="1">
        <v>8.5</v>
      </c>
      <c r="F412" s="1" t="s">
        <v>22</v>
      </c>
      <c r="G412" s="1" t="s">
        <v>130</v>
      </c>
      <c r="H412" s="1" t="s">
        <v>62</v>
      </c>
      <c r="J412" s="9">
        <f t="shared" si="14"/>
        <v>102.8</v>
      </c>
      <c r="K412" s="1">
        <v>1300</v>
      </c>
      <c r="L412" s="1" t="s">
        <v>10</v>
      </c>
      <c r="N412" s="14" t="s">
        <v>322</v>
      </c>
      <c r="P412" s="1" t="s">
        <v>234</v>
      </c>
      <c r="S412" s="1">
        <f t="shared" si="13"/>
        <v>102.8</v>
      </c>
      <c r="T412" s="1">
        <v>32.299999999999997</v>
      </c>
    </row>
    <row r="413" spans="1:20" ht="15.75" customHeight="1" x14ac:dyDescent="0.2">
      <c r="A413" s="6">
        <v>413</v>
      </c>
      <c r="C413" s="1">
        <v>84</v>
      </c>
      <c r="D413" s="1">
        <v>9</v>
      </c>
      <c r="E413" s="1">
        <v>1.3</v>
      </c>
      <c r="F413" s="1" t="s">
        <v>12</v>
      </c>
      <c r="G413" s="1" t="s">
        <v>183</v>
      </c>
      <c r="H413" s="1" t="s">
        <v>380</v>
      </c>
      <c r="J413" s="9">
        <f t="shared" si="14"/>
        <v>182.10000000000002</v>
      </c>
      <c r="K413" s="1">
        <v>1300</v>
      </c>
      <c r="L413" s="1" t="s">
        <v>34</v>
      </c>
      <c r="N413" s="1" t="s">
        <v>219</v>
      </c>
      <c r="P413" s="1" t="s">
        <v>234</v>
      </c>
      <c r="Q413" s="1" t="s">
        <v>42</v>
      </c>
      <c r="S413" s="1">
        <f t="shared" si="13"/>
        <v>182.10000000000002</v>
      </c>
      <c r="T413" s="1">
        <v>57.2</v>
      </c>
    </row>
    <row r="414" spans="1:20" ht="15.75" customHeight="1" x14ac:dyDescent="0.2">
      <c r="A414" s="6">
        <v>414</v>
      </c>
      <c r="C414" s="1">
        <v>84</v>
      </c>
      <c r="D414" s="1">
        <v>6.5</v>
      </c>
      <c r="E414" s="1">
        <v>2</v>
      </c>
      <c r="F414" s="1" t="s">
        <v>22</v>
      </c>
      <c r="G414" s="1" t="s">
        <v>161</v>
      </c>
      <c r="H414" s="1" t="s">
        <v>259</v>
      </c>
      <c r="J414" s="9">
        <f t="shared" si="14"/>
        <v>120</v>
      </c>
      <c r="K414" s="1">
        <v>1300</v>
      </c>
      <c r="L414" s="1" t="s">
        <v>10</v>
      </c>
      <c r="N414" s="14" t="s">
        <v>314</v>
      </c>
      <c r="P414" s="1" t="s">
        <v>32</v>
      </c>
      <c r="S414" s="1">
        <f t="shared" si="13"/>
        <v>120</v>
      </c>
      <c r="T414" s="1">
        <v>37.700000000000003</v>
      </c>
    </row>
    <row r="415" spans="1:20" ht="15.75" customHeight="1" x14ac:dyDescent="0.2">
      <c r="A415" s="6">
        <v>415</v>
      </c>
      <c r="C415" s="1">
        <v>84</v>
      </c>
      <c r="D415" s="1">
        <v>9.5</v>
      </c>
      <c r="E415" s="1">
        <v>4</v>
      </c>
      <c r="F415" s="1" t="s">
        <v>12</v>
      </c>
      <c r="G415" s="1" t="s">
        <v>183</v>
      </c>
      <c r="H415" s="1" t="s">
        <v>380</v>
      </c>
      <c r="J415" s="9">
        <f t="shared" si="14"/>
        <v>116.8</v>
      </c>
      <c r="K415" s="1">
        <v>1300</v>
      </c>
      <c r="L415" s="1" t="s">
        <v>10</v>
      </c>
      <c r="N415" s="1" t="s">
        <v>219</v>
      </c>
      <c r="P415" s="1" t="s">
        <v>234</v>
      </c>
      <c r="Q415" s="1" t="s">
        <v>42</v>
      </c>
      <c r="S415" s="1">
        <f t="shared" si="13"/>
        <v>116.8</v>
      </c>
      <c r="T415" s="1">
        <v>36.700000000000003</v>
      </c>
    </row>
    <row r="416" spans="1:20" ht="15.75" customHeight="1" x14ac:dyDescent="0.2">
      <c r="A416" s="6">
        <v>416</v>
      </c>
      <c r="C416" s="1">
        <v>84</v>
      </c>
      <c r="D416" s="1">
        <v>6</v>
      </c>
      <c r="E416" s="1">
        <v>6</v>
      </c>
      <c r="F416" s="1" t="s">
        <v>48</v>
      </c>
      <c r="G416" s="1" t="s">
        <v>189</v>
      </c>
      <c r="H416" s="1" t="s">
        <v>49</v>
      </c>
      <c r="J416" s="9">
        <f t="shared" si="14"/>
        <v>114.3</v>
      </c>
      <c r="K416" s="1">
        <v>1300</v>
      </c>
      <c r="L416" s="1" t="s">
        <v>10</v>
      </c>
      <c r="N416" s="1" t="s">
        <v>208</v>
      </c>
      <c r="P416" s="1" t="s">
        <v>234</v>
      </c>
      <c r="S416" s="1">
        <f t="shared" si="13"/>
        <v>114.3</v>
      </c>
      <c r="T416" s="1">
        <v>35.9</v>
      </c>
    </row>
    <row r="417" spans="1:20" ht="15.75" customHeight="1" x14ac:dyDescent="0.2">
      <c r="A417" s="6">
        <v>417</v>
      </c>
      <c r="C417" s="1">
        <v>84</v>
      </c>
      <c r="D417" s="1">
        <v>9.9</v>
      </c>
      <c r="E417" s="1">
        <v>8</v>
      </c>
      <c r="F417" s="1" t="s">
        <v>48</v>
      </c>
      <c r="G417" s="1" t="s">
        <v>190</v>
      </c>
      <c r="H417" s="1" t="s">
        <v>249</v>
      </c>
      <c r="J417" s="9">
        <f t="shared" si="14"/>
        <v>184.3</v>
      </c>
      <c r="K417" s="1">
        <v>1300</v>
      </c>
      <c r="L417" s="1" t="s">
        <v>10</v>
      </c>
      <c r="N417" s="1" t="s">
        <v>212</v>
      </c>
      <c r="P417" s="1" t="s">
        <v>234</v>
      </c>
      <c r="S417" s="1">
        <f t="shared" si="13"/>
        <v>184.3</v>
      </c>
      <c r="T417" s="1">
        <v>57.9</v>
      </c>
    </row>
    <row r="418" spans="1:20" ht="15.75" customHeight="1" x14ac:dyDescent="0.2">
      <c r="A418" s="6">
        <v>418</v>
      </c>
      <c r="C418" s="1">
        <v>84</v>
      </c>
      <c r="D418" s="1">
        <v>3.5</v>
      </c>
      <c r="E418" s="1">
        <v>8</v>
      </c>
      <c r="F418" s="1" t="s">
        <v>54</v>
      </c>
      <c r="G418" s="1" t="s">
        <v>274</v>
      </c>
      <c r="H418" s="1" t="s">
        <v>37</v>
      </c>
      <c r="J418" s="9">
        <f t="shared" si="14"/>
        <v>211.70000000000002</v>
      </c>
      <c r="K418" s="1">
        <v>1300</v>
      </c>
      <c r="L418" s="1" t="s">
        <v>10</v>
      </c>
      <c r="N418" s="14" t="s">
        <v>318</v>
      </c>
      <c r="P418" s="1" t="s">
        <v>234</v>
      </c>
      <c r="S418" s="1">
        <f t="shared" si="13"/>
        <v>211.70000000000002</v>
      </c>
      <c r="T418" s="1">
        <v>66.5</v>
      </c>
    </row>
    <row r="419" spans="1:20" ht="15.75" customHeight="1" x14ac:dyDescent="0.2">
      <c r="A419" s="6">
        <v>419</v>
      </c>
      <c r="C419" s="1">
        <v>84</v>
      </c>
      <c r="D419" s="1">
        <v>3</v>
      </c>
      <c r="E419" s="1">
        <v>8.1999999999999993</v>
      </c>
      <c r="F419" s="1" t="s">
        <v>22</v>
      </c>
      <c r="G419" s="1" t="s">
        <v>195</v>
      </c>
      <c r="H419" s="1" t="s">
        <v>30</v>
      </c>
      <c r="J419" s="9">
        <f t="shared" si="14"/>
        <v>116.5</v>
      </c>
      <c r="K419" s="1">
        <v>1300</v>
      </c>
      <c r="L419" s="1" t="s">
        <v>10</v>
      </c>
      <c r="N419" s="1" t="s">
        <v>202</v>
      </c>
      <c r="P419" s="1" t="s">
        <v>234</v>
      </c>
      <c r="S419" s="1">
        <f t="shared" si="13"/>
        <v>116.5</v>
      </c>
      <c r="T419" s="1">
        <v>36.6</v>
      </c>
    </row>
    <row r="420" spans="1:20" ht="15.75" customHeight="1" x14ac:dyDescent="0.2">
      <c r="A420" s="6">
        <v>420</v>
      </c>
      <c r="C420" s="1">
        <v>85</v>
      </c>
      <c r="D420" s="1">
        <v>1</v>
      </c>
      <c r="E420" s="1">
        <v>0.2</v>
      </c>
      <c r="F420" s="1" t="s">
        <v>22</v>
      </c>
      <c r="G420" s="1" t="s">
        <v>195</v>
      </c>
      <c r="H420" s="1" t="s">
        <v>30</v>
      </c>
      <c r="J420" s="9">
        <f t="shared" si="14"/>
        <v>351.70000000000005</v>
      </c>
      <c r="K420" s="1">
        <v>1300</v>
      </c>
      <c r="L420" s="1" t="s">
        <v>10</v>
      </c>
      <c r="N420" s="1" t="s">
        <v>202</v>
      </c>
      <c r="P420" s="1" t="s">
        <v>234</v>
      </c>
      <c r="S420" s="1">
        <f t="shared" si="13"/>
        <v>351.70000000000005</v>
      </c>
      <c r="T420" s="1">
        <v>110.5</v>
      </c>
    </row>
    <row r="421" spans="1:20" ht="15.75" customHeight="1" x14ac:dyDescent="0.2">
      <c r="A421" s="6">
        <v>421</v>
      </c>
      <c r="C421" s="1">
        <v>85</v>
      </c>
      <c r="D421" s="1">
        <v>3.5</v>
      </c>
      <c r="E421" s="1">
        <v>3</v>
      </c>
      <c r="F421" s="1" t="s">
        <v>93</v>
      </c>
      <c r="G421" s="1" t="s">
        <v>94</v>
      </c>
      <c r="H421" s="1" t="s">
        <v>344</v>
      </c>
      <c r="J421" s="9">
        <f t="shared" si="14"/>
        <v>147.69999999999999</v>
      </c>
      <c r="K421" s="1">
        <v>1300</v>
      </c>
      <c r="L421" s="1" t="s">
        <v>10</v>
      </c>
      <c r="Q421" s="1" t="s">
        <v>26</v>
      </c>
      <c r="S421" s="1">
        <f t="shared" si="13"/>
        <v>147.69999999999999</v>
      </c>
      <c r="T421" s="1">
        <v>46.4</v>
      </c>
    </row>
    <row r="422" spans="1:20" ht="15.75" customHeight="1" x14ac:dyDescent="0.2">
      <c r="A422" s="6">
        <v>422</v>
      </c>
      <c r="C422" s="1">
        <v>85</v>
      </c>
      <c r="D422" s="1">
        <v>7</v>
      </c>
      <c r="E422" s="1">
        <v>3.5</v>
      </c>
      <c r="F422" s="1" t="s">
        <v>83</v>
      </c>
      <c r="G422" s="1" t="s">
        <v>369</v>
      </c>
      <c r="H422" s="1" t="s">
        <v>180</v>
      </c>
      <c r="J422" s="9">
        <f t="shared" si="14"/>
        <v>643</v>
      </c>
      <c r="K422" s="1">
        <v>1300</v>
      </c>
      <c r="L422" s="1" t="s">
        <v>10</v>
      </c>
      <c r="N422" s="14" t="s">
        <v>323</v>
      </c>
      <c r="P422" s="1" t="s">
        <v>32</v>
      </c>
      <c r="Q422" s="1" t="s">
        <v>26</v>
      </c>
      <c r="S422" s="1">
        <f t="shared" si="13"/>
        <v>643</v>
      </c>
      <c r="T422" s="1">
        <v>202</v>
      </c>
    </row>
    <row r="423" spans="1:20" ht="15.75" customHeight="1" x14ac:dyDescent="0.2">
      <c r="A423" s="6">
        <v>423</v>
      </c>
      <c r="C423" s="1">
        <v>85</v>
      </c>
      <c r="D423" s="1">
        <v>2.5</v>
      </c>
      <c r="E423" s="1">
        <v>6</v>
      </c>
      <c r="F423" s="1" t="s">
        <v>65</v>
      </c>
      <c r="G423" s="1" t="s">
        <v>182</v>
      </c>
      <c r="H423" s="1" t="s">
        <v>66</v>
      </c>
      <c r="J423" s="9">
        <f t="shared" si="14"/>
        <v>285.5</v>
      </c>
      <c r="K423" s="1">
        <v>1300</v>
      </c>
      <c r="L423" s="1" t="s">
        <v>162</v>
      </c>
      <c r="N423" s="1" t="s">
        <v>213</v>
      </c>
      <c r="P423" s="1" t="s">
        <v>234</v>
      </c>
      <c r="Q423" s="1" t="s">
        <v>163</v>
      </c>
      <c r="S423" s="1">
        <f t="shared" si="13"/>
        <v>285.5</v>
      </c>
      <c r="T423" s="1">
        <v>89.7</v>
      </c>
    </row>
    <row r="424" spans="1:20" ht="15.75" customHeight="1" x14ac:dyDescent="0.2">
      <c r="A424" s="6">
        <v>424</v>
      </c>
      <c r="B424" s="1">
        <v>424</v>
      </c>
      <c r="C424" s="1">
        <v>85</v>
      </c>
      <c r="D424" s="1">
        <v>2.5</v>
      </c>
      <c r="E424" s="1">
        <v>6</v>
      </c>
      <c r="F424" s="1" t="s">
        <v>65</v>
      </c>
      <c r="G424" s="1" t="s">
        <v>182</v>
      </c>
      <c r="H424" s="1" t="s">
        <v>66</v>
      </c>
      <c r="J424" s="9">
        <f t="shared" si="14"/>
        <v>99</v>
      </c>
      <c r="K424" s="1">
        <v>1300</v>
      </c>
      <c r="L424" s="1" t="s">
        <v>164</v>
      </c>
      <c r="N424" s="1" t="s">
        <v>213</v>
      </c>
      <c r="P424" s="1" t="s">
        <v>234</v>
      </c>
      <c r="S424" s="1">
        <f t="shared" si="13"/>
        <v>99</v>
      </c>
      <c r="T424" s="1">
        <v>31.1</v>
      </c>
    </row>
    <row r="425" spans="1:20" ht="15.75" customHeight="1" x14ac:dyDescent="0.2">
      <c r="A425" s="6">
        <v>425</v>
      </c>
      <c r="C425" s="1">
        <v>86</v>
      </c>
      <c r="D425" s="1">
        <v>5.5</v>
      </c>
      <c r="E425" s="1">
        <v>3.5</v>
      </c>
      <c r="F425" s="1" t="s">
        <v>39</v>
      </c>
      <c r="G425" s="1" t="s">
        <v>201</v>
      </c>
      <c r="H425" s="1" t="s">
        <v>387</v>
      </c>
      <c r="J425" s="9">
        <f t="shared" si="14"/>
        <v>337.1</v>
      </c>
      <c r="K425" s="1">
        <v>1300</v>
      </c>
      <c r="L425" s="1" t="s">
        <v>10</v>
      </c>
      <c r="N425" s="1" t="s">
        <v>211</v>
      </c>
      <c r="P425" s="1" t="s">
        <v>234</v>
      </c>
      <c r="S425" s="1">
        <f t="shared" si="13"/>
        <v>337.1</v>
      </c>
      <c r="T425" s="1">
        <v>105.9</v>
      </c>
    </row>
    <row r="426" spans="1:20" ht="15.75" customHeight="1" x14ac:dyDescent="0.2">
      <c r="A426" s="6">
        <v>426</v>
      </c>
      <c r="C426" s="1">
        <v>86</v>
      </c>
      <c r="D426" s="1">
        <v>5.5</v>
      </c>
      <c r="E426" s="1">
        <v>3.5</v>
      </c>
      <c r="F426" s="1" t="s">
        <v>20</v>
      </c>
      <c r="G426" s="1" t="s">
        <v>134</v>
      </c>
      <c r="H426" s="1" t="s">
        <v>375</v>
      </c>
      <c r="J426" s="9">
        <f t="shared" si="14"/>
        <v>223.79999999999998</v>
      </c>
      <c r="K426" s="1">
        <v>1300</v>
      </c>
      <c r="L426" s="1" t="s">
        <v>10</v>
      </c>
      <c r="S426" s="1">
        <f t="shared" si="13"/>
        <v>223.79999999999998</v>
      </c>
      <c r="T426" s="1">
        <v>70.3</v>
      </c>
    </row>
    <row r="427" spans="1:20" ht="15.75" customHeight="1" x14ac:dyDescent="0.2">
      <c r="A427" s="6">
        <v>427</v>
      </c>
      <c r="C427" s="1">
        <v>86</v>
      </c>
      <c r="D427" s="1">
        <v>6.5</v>
      </c>
      <c r="E427" s="1">
        <v>8.6999999999999993</v>
      </c>
      <c r="F427" s="1" t="s">
        <v>20</v>
      </c>
      <c r="G427" s="1" t="s">
        <v>405</v>
      </c>
      <c r="H427" s="1" t="s">
        <v>47</v>
      </c>
      <c r="J427" s="9">
        <f t="shared" si="14"/>
        <v>271.8</v>
      </c>
      <c r="K427" s="1">
        <v>1300</v>
      </c>
      <c r="L427" s="1" t="s">
        <v>10</v>
      </c>
      <c r="S427" s="1">
        <f t="shared" si="13"/>
        <v>271.8</v>
      </c>
      <c r="T427" s="1">
        <v>85.4</v>
      </c>
    </row>
    <row r="428" spans="1:20" ht="15.75" customHeight="1" x14ac:dyDescent="0.2">
      <c r="A428" s="6">
        <v>428</v>
      </c>
      <c r="C428" s="1">
        <v>87</v>
      </c>
      <c r="D428" s="1">
        <v>6</v>
      </c>
      <c r="E428" s="1">
        <v>2</v>
      </c>
      <c r="F428" s="1" t="s">
        <v>48</v>
      </c>
      <c r="G428" s="1" t="s">
        <v>189</v>
      </c>
      <c r="H428" s="1" t="s">
        <v>49</v>
      </c>
      <c r="J428" s="9">
        <f t="shared" si="14"/>
        <v>123.80000000000001</v>
      </c>
      <c r="K428" s="1">
        <v>1300</v>
      </c>
      <c r="L428" s="1" t="s">
        <v>34</v>
      </c>
      <c r="N428" s="1" t="s">
        <v>208</v>
      </c>
      <c r="P428" s="1" t="s">
        <v>234</v>
      </c>
      <c r="S428" s="1">
        <f t="shared" si="13"/>
        <v>123.80000000000001</v>
      </c>
      <c r="T428" s="1">
        <v>38.9</v>
      </c>
    </row>
    <row r="429" spans="1:20" ht="15.75" customHeight="1" x14ac:dyDescent="0.2">
      <c r="A429" s="6">
        <v>429</v>
      </c>
      <c r="C429" s="1">
        <v>87</v>
      </c>
      <c r="D429" s="1">
        <v>3</v>
      </c>
      <c r="E429" s="1">
        <v>3</v>
      </c>
      <c r="F429" s="1" t="s">
        <v>39</v>
      </c>
      <c r="G429" s="1" t="s">
        <v>401</v>
      </c>
      <c r="H429" s="1" t="s">
        <v>262</v>
      </c>
      <c r="J429" s="9">
        <f t="shared" si="14"/>
        <v>146.69999999999999</v>
      </c>
      <c r="K429" s="1">
        <v>1300</v>
      </c>
      <c r="L429" s="1" t="s">
        <v>10</v>
      </c>
      <c r="N429" s="1" t="s">
        <v>233</v>
      </c>
      <c r="P429" s="1" t="s">
        <v>234</v>
      </c>
      <c r="S429" s="1">
        <f t="shared" si="13"/>
        <v>146.69999999999999</v>
      </c>
      <c r="T429" s="1">
        <v>46.1</v>
      </c>
    </row>
    <row r="430" spans="1:20" ht="15.75" customHeight="1" x14ac:dyDescent="0.2">
      <c r="A430" s="6">
        <v>430</v>
      </c>
      <c r="C430" s="1">
        <v>87</v>
      </c>
      <c r="D430" s="1">
        <v>2</v>
      </c>
      <c r="E430" s="1">
        <v>4</v>
      </c>
      <c r="F430" s="1" t="s">
        <v>20</v>
      </c>
      <c r="G430" s="1" t="s">
        <v>134</v>
      </c>
      <c r="H430" s="1" t="s">
        <v>375</v>
      </c>
      <c r="J430" s="9">
        <f t="shared" si="14"/>
        <v>192.60000000000002</v>
      </c>
      <c r="K430" s="1">
        <v>1300</v>
      </c>
      <c r="L430" s="1" t="s">
        <v>10</v>
      </c>
      <c r="S430" s="1">
        <f t="shared" si="13"/>
        <v>192.60000000000002</v>
      </c>
      <c r="T430" s="1">
        <v>60.5</v>
      </c>
    </row>
    <row r="431" spans="1:20" ht="15.75" customHeight="1" x14ac:dyDescent="0.2">
      <c r="A431" s="6">
        <v>431</v>
      </c>
      <c r="C431" s="1">
        <v>88</v>
      </c>
      <c r="D431" s="1">
        <v>5</v>
      </c>
      <c r="E431" s="1">
        <v>1</v>
      </c>
      <c r="F431" s="1" t="s">
        <v>39</v>
      </c>
      <c r="G431" s="1" t="s">
        <v>398</v>
      </c>
      <c r="H431" s="1" t="s">
        <v>343</v>
      </c>
      <c r="J431" s="9">
        <f t="shared" si="14"/>
        <v>393.1</v>
      </c>
      <c r="K431" s="1">
        <v>1300</v>
      </c>
      <c r="L431" s="1" t="s">
        <v>10</v>
      </c>
      <c r="N431" s="14" t="s">
        <v>328</v>
      </c>
      <c r="P431" s="1" t="s">
        <v>32</v>
      </c>
      <c r="S431" s="1">
        <f t="shared" si="13"/>
        <v>393.1</v>
      </c>
      <c r="T431" s="1">
        <v>123.5</v>
      </c>
    </row>
    <row r="432" spans="1:20" ht="15.75" customHeight="1" x14ac:dyDescent="0.2">
      <c r="A432" s="6">
        <v>432</v>
      </c>
      <c r="C432" s="1">
        <v>88</v>
      </c>
      <c r="D432" s="1">
        <v>3.5</v>
      </c>
      <c r="E432" s="1">
        <v>0.8</v>
      </c>
      <c r="F432" s="1" t="s">
        <v>15</v>
      </c>
      <c r="G432" s="1" t="s">
        <v>16</v>
      </c>
      <c r="H432" s="1" t="s">
        <v>268</v>
      </c>
      <c r="J432" s="9">
        <f t="shared" si="14"/>
        <v>137.20000000000002</v>
      </c>
      <c r="K432" s="1">
        <v>1300</v>
      </c>
      <c r="L432" s="1" t="s">
        <v>10</v>
      </c>
      <c r="S432" s="1">
        <f t="shared" si="13"/>
        <v>137.20000000000002</v>
      </c>
      <c r="T432" s="1">
        <v>43.1</v>
      </c>
    </row>
    <row r="433" spans="1:20" ht="15.75" customHeight="1" x14ac:dyDescent="0.2">
      <c r="A433" s="6">
        <v>433</v>
      </c>
      <c r="C433" s="1">
        <v>88</v>
      </c>
      <c r="D433" s="1">
        <v>1.8</v>
      </c>
      <c r="E433" s="1">
        <v>4</v>
      </c>
      <c r="F433" s="1" t="s">
        <v>20</v>
      </c>
      <c r="G433" s="1" t="s">
        <v>165</v>
      </c>
      <c r="H433" s="1" t="s">
        <v>377</v>
      </c>
      <c r="J433" s="9">
        <f t="shared" si="14"/>
        <v>255</v>
      </c>
      <c r="K433" s="1">
        <v>1300</v>
      </c>
      <c r="L433" s="1" t="s">
        <v>10</v>
      </c>
      <c r="Q433" s="1" t="s">
        <v>166</v>
      </c>
      <c r="S433" s="1">
        <f t="shared" si="13"/>
        <v>255</v>
      </c>
      <c r="T433" s="1">
        <v>80.099999999999994</v>
      </c>
    </row>
    <row r="434" spans="1:20" ht="15.75" customHeight="1" x14ac:dyDescent="0.2">
      <c r="A434" s="6">
        <v>434</v>
      </c>
      <c r="C434" s="1">
        <v>88</v>
      </c>
      <c r="D434" s="1">
        <v>4</v>
      </c>
      <c r="E434" s="1">
        <v>5</v>
      </c>
      <c r="F434" s="1" t="s">
        <v>39</v>
      </c>
      <c r="G434" s="1" t="s">
        <v>277</v>
      </c>
      <c r="H434" s="1" t="s">
        <v>236</v>
      </c>
      <c r="J434" s="9">
        <f t="shared" si="14"/>
        <v>261.3</v>
      </c>
      <c r="K434" s="1">
        <v>1300</v>
      </c>
      <c r="L434" s="1" t="s">
        <v>10</v>
      </c>
      <c r="N434" s="14" t="s">
        <v>298</v>
      </c>
      <c r="P434" s="1" t="s">
        <v>234</v>
      </c>
      <c r="S434" s="1">
        <f t="shared" si="13"/>
        <v>261.3</v>
      </c>
      <c r="T434" s="1">
        <v>82.1</v>
      </c>
    </row>
    <row r="435" spans="1:20" ht="15.75" customHeight="1" x14ac:dyDescent="0.2">
      <c r="A435" s="6">
        <v>435</v>
      </c>
      <c r="C435" s="1">
        <v>88</v>
      </c>
      <c r="D435" s="1">
        <v>7</v>
      </c>
      <c r="E435" s="1">
        <v>6</v>
      </c>
      <c r="F435" s="1" t="s">
        <v>111</v>
      </c>
      <c r="G435" s="1" t="s">
        <v>263</v>
      </c>
      <c r="H435" s="1" t="s">
        <v>112</v>
      </c>
      <c r="J435" s="9">
        <f t="shared" si="14"/>
        <v>156.6</v>
      </c>
      <c r="K435" s="1">
        <v>1300</v>
      </c>
      <c r="L435" s="1" t="s">
        <v>55</v>
      </c>
      <c r="N435" s="14" t="s">
        <v>320</v>
      </c>
      <c r="P435" s="1" t="s">
        <v>32</v>
      </c>
      <c r="S435" s="1">
        <f t="shared" si="13"/>
        <v>156.6</v>
      </c>
      <c r="T435" s="1">
        <v>49.2</v>
      </c>
    </row>
    <row r="436" spans="1:20" ht="15.75" customHeight="1" x14ac:dyDescent="0.2">
      <c r="A436" s="6">
        <v>436</v>
      </c>
      <c r="C436" s="1">
        <v>88</v>
      </c>
      <c r="D436" s="1">
        <v>9</v>
      </c>
      <c r="E436" s="1">
        <v>7.5</v>
      </c>
      <c r="F436" s="1" t="s">
        <v>76</v>
      </c>
      <c r="G436" s="1" t="s">
        <v>77</v>
      </c>
      <c r="H436" s="1" t="s">
        <v>257</v>
      </c>
      <c r="I436" s="1" t="s">
        <v>187</v>
      </c>
      <c r="J436" s="9">
        <f t="shared" si="14"/>
        <v>154.70000000000002</v>
      </c>
      <c r="K436" s="1">
        <v>1300</v>
      </c>
      <c r="L436" s="1" t="s">
        <v>71</v>
      </c>
      <c r="N436" s="1" t="s">
        <v>230</v>
      </c>
      <c r="P436" s="1" t="s">
        <v>234</v>
      </c>
      <c r="S436" s="1">
        <f t="shared" si="13"/>
        <v>154.70000000000002</v>
      </c>
      <c r="T436" s="1">
        <v>48.6</v>
      </c>
    </row>
    <row r="437" spans="1:20" ht="15.75" customHeight="1" x14ac:dyDescent="0.2">
      <c r="A437" s="6">
        <v>437</v>
      </c>
      <c r="C437" s="1">
        <v>88</v>
      </c>
      <c r="D437" s="1">
        <v>7.5</v>
      </c>
      <c r="E437" s="1">
        <v>3</v>
      </c>
      <c r="F437" s="1" t="s">
        <v>278</v>
      </c>
      <c r="G437" s="1" t="s">
        <v>16</v>
      </c>
      <c r="H437" s="1" t="s">
        <v>256</v>
      </c>
      <c r="J437" s="9">
        <f t="shared" si="14"/>
        <v>102.2</v>
      </c>
      <c r="K437" s="1">
        <v>1300</v>
      </c>
      <c r="L437" s="1" t="s">
        <v>168</v>
      </c>
      <c r="N437" s="14" t="s">
        <v>309</v>
      </c>
      <c r="P437" s="1" t="s">
        <v>32</v>
      </c>
      <c r="S437" s="1">
        <f t="shared" si="13"/>
        <v>102.2</v>
      </c>
      <c r="T437" s="1">
        <v>32.1</v>
      </c>
    </row>
    <row r="438" spans="1:20" ht="15.75" customHeight="1" x14ac:dyDescent="0.2">
      <c r="A438" s="6">
        <v>438</v>
      </c>
      <c r="C438" s="1">
        <v>89</v>
      </c>
      <c r="D438" s="1">
        <v>5.5</v>
      </c>
      <c r="E438" s="1">
        <v>3</v>
      </c>
      <c r="F438" s="1" t="s">
        <v>39</v>
      </c>
      <c r="G438" s="1" t="s">
        <v>400</v>
      </c>
      <c r="H438" s="1" t="s">
        <v>264</v>
      </c>
      <c r="J438" s="9">
        <f t="shared" si="14"/>
        <v>109.80000000000001</v>
      </c>
      <c r="K438" s="1">
        <v>1300</v>
      </c>
      <c r="L438" s="1" t="s">
        <v>19</v>
      </c>
      <c r="N438" s="1" t="s">
        <v>211</v>
      </c>
      <c r="P438" s="1" t="s">
        <v>234</v>
      </c>
      <c r="Q438" s="1" t="s">
        <v>169</v>
      </c>
      <c r="S438" s="1">
        <f t="shared" si="13"/>
        <v>109.80000000000001</v>
      </c>
      <c r="T438" s="1">
        <v>34.5</v>
      </c>
    </row>
    <row r="439" spans="1:20" ht="15.75" customHeight="1" x14ac:dyDescent="0.2">
      <c r="A439" s="6">
        <v>439</v>
      </c>
      <c r="C439" s="1">
        <v>89</v>
      </c>
      <c r="D439" s="1">
        <v>0.5</v>
      </c>
      <c r="E439" s="1">
        <v>9.5</v>
      </c>
      <c r="F439" s="1" t="s">
        <v>68</v>
      </c>
      <c r="G439" s="1" t="s">
        <v>399</v>
      </c>
      <c r="H439" s="1" t="s">
        <v>135</v>
      </c>
      <c r="J439" s="9">
        <f t="shared" si="14"/>
        <v>100.9</v>
      </c>
      <c r="K439" s="1">
        <v>1300</v>
      </c>
      <c r="L439" s="1" t="s">
        <v>170</v>
      </c>
      <c r="N439" s="1" t="s">
        <v>215</v>
      </c>
      <c r="P439" s="1" t="s">
        <v>234</v>
      </c>
      <c r="S439" s="1">
        <f t="shared" si="13"/>
        <v>100.9</v>
      </c>
      <c r="T439" s="1">
        <v>31.7</v>
      </c>
    </row>
    <row r="440" spans="1:20" ht="15.75" customHeight="1" x14ac:dyDescent="0.2">
      <c r="A440" s="6">
        <v>440</v>
      </c>
      <c r="C440" s="1">
        <v>90</v>
      </c>
      <c r="D440" s="1">
        <v>2</v>
      </c>
      <c r="E440" s="1">
        <v>5</v>
      </c>
      <c r="F440" s="1" t="s">
        <v>86</v>
      </c>
      <c r="G440" s="1" t="s">
        <v>197</v>
      </c>
      <c r="H440" s="1" t="s">
        <v>250</v>
      </c>
      <c r="J440" s="9">
        <f t="shared" si="14"/>
        <v>296.70000000000005</v>
      </c>
      <c r="K440" s="1">
        <v>1300</v>
      </c>
      <c r="L440" s="1" t="s">
        <v>10</v>
      </c>
      <c r="N440" s="1" t="s">
        <v>218</v>
      </c>
      <c r="P440" s="1" t="s">
        <v>234</v>
      </c>
      <c r="S440" s="1">
        <f t="shared" si="13"/>
        <v>296.70000000000005</v>
      </c>
      <c r="T440" s="1">
        <v>93.2</v>
      </c>
    </row>
    <row r="441" spans="1:20" ht="15.75" customHeight="1" x14ac:dyDescent="0.2">
      <c r="A441" s="6">
        <v>441</v>
      </c>
      <c r="C441" s="1">
        <v>90</v>
      </c>
      <c r="D441" s="1">
        <v>2</v>
      </c>
      <c r="E441" s="1">
        <v>3</v>
      </c>
      <c r="F441" s="1" t="s">
        <v>48</v>
      </c>
      <c r="G441" s="1" t="s">
        <v>190</v>
      </c>
      <c r="H441" s="1" t="s">
        <v>249</v>
      </c>
      <c r="J441" s="9">
        <f t="shared" si="14"/>
        <v>119.7</v>
      </c>
      <c r="K441" s="1">
        <v>1300</v>
      </c>
      <c r="L441" s="1" t="s">
        <v>10</v>
      </c>
      <c r="N441" s="1" t="s">
        <v>212</v>
      </c>
      <c r="P441" s="1" t="s">
        <v>234</v>
      </c>
      <c r="S441" s="1">
        <f t="shared" si="13"/>
        <v>119.7</v>
      </c>
      <c r="T441" s="1">
        <v>37.6</v>
      </c>
    </row>
    <row r="442" spans="1:20" ht="15.75" customHeight="1" x14ac:dyDescent="0.2">
      <c r="A442" s="6">
        <v>442</v>
      </c>
      <c r="C442" s="1">
        <v>90</v>
      </c>
      <c r="D442" s="1">
        <v>6</v>
      </c>
      <c r="E442" s="1">
        <v>8</v>
      </c>
      <c r="F442" s="1" t="s">
        <v>20</v>
      </c>
      <c r="G442" s="1" t="s">
        <v>405</v>
      </c>
      <c r="H442" s="1" t="s">
        <v>47</v>
      </c>
      <c r="J442" s="9">
        <f t="shared" si="14"/>
        <v>308.39999999999998</v>
      </c>
      <c r="K442" s="1">
        <v>1300</v>
      </c>
      <c r="L442" s="1" t="s">
        <v>10</v>
      </c>
      <c r="S442" s="1">
        <f t="shared" si="13"/>
        <v>308.39999999999998</v>
      </c>
      <c r="T442" s="1">
        <v>96.9</v>
      </c>
    </row>
    <row r="443" spans="1:20" ht="15.75" customHeight="1" x14ac:dyDescent="0.2">
      <c r="A443" s="6">
        <v>443</v>
      </c>
      <c r="C443" s="1">
        <v>91</v>
      </c>
      <c r="D443" s="1">
        <v>2.5</v>
      </c>
      <c r="E443" s="1">
        <v>7</v>
      </c>
      <c r="F443" s="1" t="s">
        <v>86</v>
      </c>
      <c r="G443" s="1" t="s">
        <v>197</v>
      </c>
      <c r="H443" s="1" t="s">
        <v>250</v>
      </c>
      <c r="J443" s="9">
        <f t="shared" si="14"/>
        <v>177.3</v>
      </c>
      <c r="K443" s="1">
        <v>1300</v>
      </c>
      <c r="L443" s="1" t="s">
        <v>64</v>
      </c>
      <c r="N443" s="1" t="s">
        <v>218</v>
      </c>
      <c r="P443" s="1" t="s">
        <v>234</v>
      </c>
      <c r="Q443" s="1" t="s">
        <v>171</v>
      </c>
      <c r="S443" s="1">
        <f t="shared" si="13"/>
        <v>177.3</v>
      </c>
      <c r="T443" s="1">
        <v>55.7</v>
      </c>
    </row>
    <row r="444" spans="1:20" ht="15.75" customHeight="1" x14ac:dyDescent="0.2">
      <c r="A444" s="6">
        <v>444</v>
      </c>
      <c r="C444" s="1">
        <v>92</v>
      </c>
      <c r="D444" s="1">
        <v>4.8</v>
      </c>
      <c r="E444" s="1">
        <v>6</v>
      </c>
      <c r="F444" s="1" t="s">
        <v>12</v>
      </c>
      <c r="G444" s="1" t="s">
        <v>183</v>
      </c>
      <c r="H444" s="1" t="s">
        <v>380</v>
      </c>
      <c r="J444" s="9">
        <f t="shared" si="14"/>
        <v>129.60000000000002</v>
      </c>
      <c r="K444" s="1">
        <v>1300</v>
      </c>
      <c r="L444" s="1" t="s">
        <v>19</v>
      </c>
      <c r="N444" s="1" t="s">
        <v>219</v>
      </c>
      <c r="P444" s="1" t="s">
        <v>234</v>
      </c>
      <c r="Q444" s="1" t="s">
        <v>139</v>
      </c>
      <c r="S444" s="1">
        <f t="shared" si="13"/>
        <v>129.60000000000002</v>
      </c>
      <c r="T444" s="1">
        <v>40.700000000000003</v>
      </c>
    </row>
    <row r="445" spans="1:20" ht="15.75" customHeight="1" x14ac:dyDescent="0.2">
      <c r="A445" s="6">
        <v>445</v>
      </c>
      <c r="C445" s="1">
        <v>92</v>
      </c>
      <c r="D445" s="1">
        <v>0.5</v>
      </c>
      <c r="E445" s="1">
        <v>4</v>
      </c>
      <c r="F445" s="1" t="s">
        <v>78</v>
      </c>
      <c r="G445" s="1" t="s">
        <v>192</v>
      </c>
      <c r="H445" s="1" t="s">
        <v>95</v>
      </c>
      <c r="J445" s="9">
        <f t="shared" si="14"/>
        <v>100.9</v>
      </c>
      <c r="K445" s="1">
        <v>1300</v>
      </c>
      <c r="L445" s="1" t="s">
        <v>10</v>
      </c>
      <c r="N445" s="1" t="s">
        <v>231</v>
      </c>
      <c r="P445" s="1" t="s">
        <v>234</v>
      </c>
      <c r="S445" s="1">
        <f t="shared" si="13"/>
        <v>100.9</v>
      </c>
      <c r="T445" s="1">
        <v>31.7</v>
      </c>
    </row>
    <row r="446" spans="1:20" ht="15.75" customHeight="1" x14ac:dyDescent="0.2">
      <c r="A446" s="6">
        <v>446</v>
      </c>
      <c r="C446" s="1">
        <v>92</v>
      </c>
      <c r="D446" s="1">
        <v>0.5</v>
      </c>
      <c r="E446" s="1">
        <v>3</v>
      </c>
      <c r="F446" s="1" t="s">
        <v>39</v>
      </c>
      <c r="G446" s="1" t="s">
        <v>400</v>
      </c>
      <c r="H446" s="1" t="s">
        <v>264</v>
      </c>
      <c r="J446" s="9">
        <f t="shared" si="14"/>
        <v>171.29999999999998</v>
      </c>
      <c r="K446" s="1">
        <v>1300</v>
      </c>
      <c r="L446" s="1" t="s">
        <v>19</v>
      </c>
      <c r="N446" s="1" t="s">
        <v>211</v>
      </c>
      <c r="P446" s="1" t="s">
        <v>234</v>
      </c>
      <c r="Q446" s="1" t="s">
        <v>142</v>
      </c>
      <c r="S446" s="1">
        <f t="shared" si="13"/>
        <v>171.29999999999998</v>
      </c>
      <c r="T446" s="1">
        <v>53.8</v>
      </c>
    </row>
    <row r="447" spans="1:20" ht="15.75" customHeight="1" x14ac:dyDescent="0.2">
      <c r="A447" s="6">
        <v>447</v>
      </c>
      <c r="C447" s="1">
        <v>93</v>
      </c>
      <c r="D447" s="1">
        <v>6.5</v>
      </c>
      <c r="E447" s="1">
        <v>6.5</v>
      </c>
      <c r="F447" s="1" t="s">
        <v>22</v>
      </c>
      <c r="G447" s="1" t="s">
        <v>195</v>
      </c>
      <c r="H447" s="1" t="s">
        <v>30</v>
      </c>
      <c r="J447" s="9">
        <f t="shared" si="14"/>
        <v>114</v>
      </c>
      <c r="K447" s="1">
        <v>1300</v>
      </c>
      <c r="L447" s="1" t="s">
        <v>140</v>
      </c>
      <c r="N447" s="1" t="s">
        <v>202</v>
      </c>
      <c r="P447" s="1" t="s">
        <v>234</v>
      </c>
      <c r="S447" s="1">
        <f t="shared" si="13"/>
        <v>114</v>
      </c>
      <c r="T447" s="1">
        <v>35.799999999999997</v>
      </c>
    </row>
    <row r="448" spans="1:20" ht="15.75" customHeight="1" x14ac:dyDescent="0.2">
      <c r="A448" s="6">
        <v>448</v>
      </c>
      <c r="C448" s="1">
        <v>93</v>
      </c>
      <c r="D448" s="1">
        <v>2.5</v>
      </c>
      <c r="E448" s="1">
        <v>4</v>
      </c>
      <c r="F448" s="1" t="s">
        <v>65</v>
      </c>
      <c r="G448" s="1" t="s">
        <v>182</v>
      </c>
      <c r="H448" s="1" t="s">
        <v>66</v>
      </c>
      <c r="J448" s="9">
        <f t="shared" si="14"/>
        <v>158.80000000000001</v>
      </c>
      <c r="K448" s="1">
        <v>1300</v>
      </c>
      <c r="L448" s="1" t="s">
        <v>45</v>
      </c>
      <c r="N448" s="1" t="s">
        <v>213</v>
      </c>
      <c r="P448" s="1" t="s">
        <v>234</v>
      </c>
      <c r="Q448" s="1" t="s">
        <v>124</v>
      </c>
      <c r="S448" s="1">
        <f t="shared" si="13"/>
        <v>158.80000000000001</v>
      </c>
      <c r="T448" s="1">
        <v>49.9</v>
      </c>
    </row>
    <row r="449" spans="1:20" ht="15.75" customHeight="1" x14ac:dyDescent="0.2">
      <c r="A449" s="6">
        <v>449</v>
      </c>
      <c r="C449" s="1">
        <v>93</v>
      </c>
      <c r="D449" s="1">
        <v>9.5</v>
      </c>
      <c r="E449" s="1">
        <v>1.3</v>
      </c>
      <c r="F449" s="1" t="s">
        <v>54</v>
      </c>
      <c r="G449" s="1" t="s">
        <v>16</v>
      </c>
      <c r="H449" s="1" t="s">
        <v>266</v>
      </c>
      <c r="J449" s="9">
        <f t="shared" si="14"/>
        <v>173.2</v>
      </c>
      <c r="K449" s="1">
        <v>1300</v>
      </c>
      <c r="L449" s="1" t="s">
        <v>55</v>
      </c>
      <c r="N449" s="14" t="s">
        <v>304</v>
      </c>
      <c r="P449" s="1" t="s">
        <v>234</v>
      </c>
      <c r="S449" s="1">
        <f t="shared" si="13"/>
        <v>173.2</v>
      </c>
      <c r="T449" s="1">
        <v>54.4</v>
      </c>
    </row>
    <row r="450" spans="1:20" ht="15.75" customHeight="1" x14ac:dyDescent="0.2">
      <c r="A450" s="6">
        <v>450</v>
      </c>
      <c r="C450" s="1">
        <v>94</v>
      </c>
      <c r="D450" s="1">
        <v>8.1999999999999993</v>
      </c>
      <c r="E450" s="1">
        <v>9.8000000000000007</v>
      </c>
      <c r="F450" s="1" t="s">
        <v>93</v>
      </c>
      <c r="G450" s="1" t="s">
        <v>94</v>
      </c>
      <c r="H450" s="1" t="s">
        <v>344</v>
      </c>
      <c r="J450" s="9">
        <f t="shared" si="14"/>
        <v>124.80000000000001</v>
      </c>
      <c r="K450" s="1">
        <v>1300</v>
      </c>
      <c r="L450" s="1" t="s">
        <v>10</v>
      </c>
      <c r="S450" s="1">
        <f t="shared" si="13"/>
        <v>124.80000000000001</v>
      </c>
      <c r="T450" s="1">
        <v>39.200000000000003</v>
      </c>
    </row>
    <row r="451" spans="1:20" ht="15.75" customHeight="1" x14ac:dyDescent="0.2">
      <c r="A451" s="6">
        <v>451</v>
      </c>
      <c r="C451" s="1">
        <v>94</v>
      </c>
      <c r="D451" s="1">
        <v>3.8</v>
      </c>
      <c r="E451" s="1">
        <v>5.5</v>
      </c>
      <c r="F451" s="1" t="s">
        <v>15</v>
      </c>
      <c r="G451" s="1" t="s">
        <v>16</v>
      </c>
      <c r="H451" s="1" t="s">
        <v>252</v>
      </c>
      <c r="J451" s="9">
        <f t="shared" si="14"/>
        <v>112.69999999999999</v>
      </c>
      <c r="K451" s="1">
        <v>1300</v>
      </c>
      <c r="L451" s="1" t="s">
        <v>172</v>
      </c>
      <c r="N451" s="14" t="s">
        <v>331</v>
      </c>
      <c r="P451" s="1" t="s">
        <v>32</v>
      </c>
      <c r="S451" s="1">
        <f t="shared" si="13"/>
        <v>112.69999999999999</v>
      </c>
      <c r="T451" s="1">
        <v>35.4</v>
      </c>
    </row>
    <row r="452" spans="1:20" ht="15.75" customHeight="1" x14ac:dyDescent="0.2">
      <c r="A452" s="6">
        <v>452</v>
      </c>
      <c r="C452" s="1">
        <v>94</v>
      </c>
      <c r="D452" s="1">
        <v>5</v>
      </c>
      <c r="E452" s="1">
        <v>6.5</v>
      </c>
      <c r="F452" s="1" t="s">
        <v>93</v>
      </c>
      <c r="G452" s="1" t="s">
        <v>94</v>
      </c>
      <c r="H452" s="1" t="s">
        <v>344</v>
      </c>
      <c r="J452" s="9">
        <f t="shared" si="14"/>
        <v>101.5</v>
      </c>
      <c r="K452" s="1">
        <v>1300</v>
      </c>
      <c r="L452" s="1" t="s">
        <v>10</v>
      </c>
      <c r="Q452" s="1" t="s">
        <v>26</v>
      </c>
      <c r="S452" s="1">
        <f t="shared" si="13"/>
        <v>101.5</v>
      </c>
      <c r="T452" s="1">
        <v>31.9</v>
      </c>
    </row>
    <row r="453" spans="1:20" ht="15.75" customHeight="1" x14ac:dyDescent="0.2">
      <c r="A453" s="6">
        <v>453</v>
      </c>
      <c r="C453" s="1">
        <v>94</v>
      </c>
      <c r="D453" s="1">
        <v>3.5</v>
      </c>
      <c r="E453" s="1">
        <v>5</v>
      </c>
      <c r="F453" s="1" t="s">
        <v>39</v>
      </c>
      <c r="G453" s="1" t="s">
        <v>401</v>
      </c>
      <c r="H453" s="1" t="s">
        <v>262</v>
      </c>
      <c r="J453" s="9">
        <f t="shared" si="14"/>
        <v>386.1</v>
      </c>
      <c r="K453" s="1">
        <v>1300</v>
      </c>
      <c r="L453" s="1" t="s">
        <v>10</v>
      </c>
      <c r="N453" s="1" t="s">
        <v>233</v>
      </c>
      <c r="P453" s="1" t="s">
        <v>32</v>
      </c>
      <c r="S453" s="1">
        <f t="shared" si="13"/>
        <v>386.1</v>
      </c>
      <c r="T453" s="1">
        <v>121.3</v>
      </c>
    </row>
    <row r="454" spans="1:20" ht="15.75" customHeight="1" x14ac:dyDescent="0.2">
      <c r="A454" s="6">
        <v>454</v>
      </c>
      <c r="C454" s="1">
        <v>94</v>
      </c>
      <c r="D454" s="1">
        <v>7</v>
      </c>
      <c r="E454" s="1">
        <v>4.5</v>
      </c>
      <c r="F454" s="1" t="s">
        <v>22</v>
      </c>
      <c r="G454" s="1" t="s">
        <v>130</v>
      </c>
      <c r="H454" s="1" t="s">
        <v>62</v>
      </c>
      <c r="J454" s="9">
        <f t="shared" si="14"/>
        <v>344.09999999999997</v>
      </c>
      <c r="K454" s="1">
        <v>1300</v>
      </c>
      <c r="L454" s="1" t="s">
        <v>10</v>
      </c>
      <c r="N454" s="14" t="s">
        <v>322</v>
      </c>
      <c r="P454" s="1" t="s">
        <v>234</v>
      </c>
      <c r="S454" s="1">
        <f t="shared" si="13"/>
        <v>344.09999999999997</v>
      </c>
      <c r="T454" s="1">
        <v>108.1</v>
      </c>
    </row>
    <row r="455" spans="1:20" ht="15.75" customHeight="1" x14ac:dyDescent="0.2">
      <c r="A455" s="6">
        <v>455</v>
      </c>
      <c r="C455" s="1">
        <v>94</v>
      </c>
      <c r="D455" s="1">
        <v>4.5</v>
      </c>
      <c r="E455" s="1">
        <v>2.5</v>
      </c>
      <c r="F455" s="1" t="s">
        <v>39</v>
      </c>
      <c r="G455" s="1" t="s">
        <v>401</v>
      </c>
      <c r="H455" s="1" t="s">
        <v>262</v>
      </c>
      <c r="J455" s="9">
        <f t="shared" si="14"/>
        <v>127</v>
      </c>
      <c r="K455" s="1">
        <v>1300</v>
      </c>
      <c r="L455" s="1" t="s">
        <v>10</v>
      </c>
      <c r="N455" s="1" t="s">
        <v>233</v>
      </c>
      <c r="P455" s="1" t="s">
        <v>234</v>
      </c>
      <c r="S455" s="1">
        <f t="shared" ref="S455:S493" si="15">ROUND(T455/PI(), 2) * 10</f>
        <v>127</v>
      </c>
      <c r="T455" s="1">
        <v>39.9</v>
      </c>
    </row>
    <row r="456" spans="1:20" ht="15.75" customHeight="1" x14ac:dyDescent="0.2">
      <c r="A456" s="6">
        <v>456</v>
      </c>
      <c r="C456" s="1">
        <v>95</v>
      </c>
      <c r="D456" s="1">
        <v>3.5</v>
      </c>
      <c r="E456" s="1">
        <v>7.8</v>
      </c>
      <c r="F456" s="1" t="s">
        <v>20</v>
      </c>
      <c r="G456" s="1" t="s">
        <v>405</v>
      </c>
      <c r="H456" s="1" t="s">
        <v>47</v>
      </c>
      <c r="J456" s="9">
        <f t="shared" si="14"/>
        <v>399.20000000000005</v>
      </c>
      <c r="K456" s="1">
        <v>1300</v>
      </c>
      <c r="L456" s="1" t="s">
        <v>10</v>
      </c>
      <c r="S456" s="1">
        <f t="shared" si="15"/>
        <v>399.20000000000005</v>
      </c>
      <c r="T456" s="1">
        <v>125.4</v>
      </c>
    </row>
    <row r="457" spans="1:20" ht="15.75" customHeight="1" x14ac:dyDescent="0.2">
      <c r="A457" s="6">
        <v>457</v>
      </c>
      <c r="C457" s="1">
        <v>95</v>
      </c>
      <c r="D457" s="1">
        <v>6.5</v>
      </c>
      <c r="E457" s="1">
        <v>6.5</v>
      </c>
      <c r="F457" s="1" t="s">
        <v>12</v>
      </c>
      <c r="G457" s="1" t="s">
        <v>183</v>
      </c>
      <c r="H457" s="1" t="s">
        <v>380</v>
      </c>
      <c r="J457" s="9">
        <f t="shared" si="14"/>
        <v>114.3</v>
      </c>
      <c r="K457" s="1">
        <v>1300</v>
      </c>
      <c r="L457" s="1" t="s">
        <v>19</v>
      </c>
      <c r="N457" s="1" t="s">
        <v>219</v>
      </c>
      <c r="P457" s="1" t="s">
        <v>234</v>
      </c>
      <c r="Q457" s="1" t="s">
        <v>173</v>
      </c>
      <c r="S457" s="1">
        <f t="shared" si="15"/>
        <v>114.3</v>
      </c>
      <c r="T457" s="1">
        <v>35.9</v>
      </c>
    </row>
    <row r="458" spans="1:20" ht="15.75" customHeight="1" x14ac:dyDescent="0.2">
      <c r="A458" s="6">
        <v>458</v>
      </c>
      <c r="C458" s="1">
        <v>95</v>
      </c>
      <c r="D458" s="1">
        <v>5</v>
      </c>
      <c r="E458" s="1">
        <v>5</v>
      </c>
      <c r="F458" s="1" t="s">
        <v>20</v>
      </c>
      <c r="G458" s="1" t="s">
        <v>405</v>
      </c>
      <c r="H458" s="1" t="s">
        <v>47</v>
      </c>
      <c r="J458" s="9">
        <f t="shared" si="14"/>
        <v>274.40000000000003</v>
      </c>
      <c r="K458" s="1">
        <v>1300</v>
      </c>
      <c r="L458" s="1" t="s">
        <v>10</v>
      </c>
      <c r="S458" s="1">
        <f t="shared" si="15"/>
        <v>274.40000000000003</v>
      </c>
      <c r="T458" s="1">
        <v>86.2</v>
      </c>
    </row>
    <row r="459" spans="1:20" ht="15.75" customHeight="1" x14ac:dyDescent="0.2">
      <c r="A459" s="6">
        <v>459</v>
      </c>
      <c r="C459" s="1">
        <v>95</v>
      </c>
      <c r="D459" s="1">
        <v>2.5</v>
      </c>
      <c r="E459" s="1">
        <v>5</v>
      </c>
      <c r="F459" s="1" t="s">
        <v>93</v>
      </c>
      <c r="G459" s="1" t="s">
        <v>16</v>
      </c>
      <c r="H459" s="1" t="s">
        <v>167</v>
      </c>
      <c r="J459" s="9">
        <f t="shared" si="14"/>
        <v>142.89999999999998</v>
      </c>
      <c r="K459" s="1">
        <v>1300</v>
      </c>
      <c r="L459" s="1" t="s">
        <v>10</v>
      </c>
      <c r="N459" s="14" t="s">
        <v>347</v>
      </c>
      <c r="P459" s="1" t="s">
        <v>32</v>
      </c>
      <c r="Q459" s="1" t="s">
        <v>26</v>
      </c>
      <c r="S459" s="1">
        <f t="shared" si="15"/>
        <v>142.89999999999998</v>
      </c>
      <c r="T459" s="1">
        <v>44.9</v>
      </c>
    </row>
    <row r="460" spans="1:20" ht="15.75" customHeight="1" x14ac:dyDescent="0.2">
      <c r="A460" s="6">
        <v>460</v>
      </c>
      <c r="C460" s="1">
        <v>96</v>
      </c>
      <c r="D460" s="1">
        <v>3</v>
      </c>
      <c r="E460" s="1">
        <v>6.5</v>
      </c>
      <c r="F460" s="1" t="s">
        <v>48</v>
      </c>
      <c r="G460" s="1" t="s">
        <v>190</v>
      </c>
      <c r="H460" s="1" t="s">
        <v>249</v>
      </c>
      <c r="J460" s="9">
        <f t="shared" ref="J460:J493" si="16">S460</f>
        <v>335.20000000000005</v>
      </c>
      <c r="K460" s="1">
        <v>1300</v>
      </c>
      <c r="L460" s="1" t="s">
        <v>10</v>
      </c>
      <c r="N460" s="1" t="s">
        <v>212</v>
      </c>
      <c r="P460" s="1" t="s">
        <v>234</v>
      </c>
      <c r="S460" s="1">
        <f t="shared" si="15"/>
        <v>335.20000000000005</v>
      </c>
      <c r="T460" s="1">
        <v>105.3</v>
      </c>
    </row>
    <row r="461" spans="1:20" ht="15.75" customHeight="1" x14ac:dyDescent="0.2">
      <c r="A461" s="6">
        <v>461</v>
      </c>
      <c r="C461" s="1">
        <v>96</v>
      </c>
      <c r="D461" s="1">
        <v>5</v>
      </c>
      <c r="E461" s="1">
        <v>8</v>
      </c>
      <c r="F461" s="1" t="s">
        <v>48</v>
      </c>
      <c r="G461" s="1" t="s">
        <v>190</v>
      </c>
      <c r="H461" s="1" t="s">
        <v>249</v>
      </c>
      <c r="J461" s="9">
        <f t="shared" si="16"/>
        <v>107.89999999999999</v>
      </c>
      <c r="K461" s="1">
        <v>1300</v>
      </c>
      <c r="L461" s="1" t="s">
        <v>5</v>
      </c>
      <c r="N461" s="1" t="s">
        <v>212</v>
      </c>
      <c r="P461" s="1" t="s">
        <v>234</v>
      </c>
      <c r="S461" s="1">
        <f t="shared" si="15"/>
        <v>107.89999999999999</v>
      </c>
      <c r="T461" s="1">
        <v>33.9</v>
      </c>
    </row>
    <row r="462" spans="1:20" ht="15.75" customHeight="1" x14ac:dyDescent="0.2">
      <c r="A462" s="6">
        <v>462</v>
      </c>
      <c r="C462" s="1">
        <v>96</v>
      </c>
      <c r="D462" s="1">
        <v>0.2</v>
      </c>
      <c r="E462" s="1">
        <v>4</v>
      </c>
      <c r="F462" s="1" t="s">
        <v>198</v>
      </c>
      <c r="G462" s="1" t="s">
        <v>199</v>
      </c>
      <c r="H462" s="1" t="s">
        <v>390</v>
      </c>
      <c r="J462" s="9">
        <f t="shared" si="16"/>
        <v>246.70000000000002</v>
      </c>
      <c r="K462" s="1">
        <v>1300</v>
      </c>
      <c r="L462" s="1" t="s">
        <v>71</v>
      </c>
      <c r="N462" s="1" t="s">
        <v>220</v>
      </c>
      <c r="P462" s="1" t="s">
        <v>234</v>
      </c>
      <c r="S462" s="1">
        <f t="shared" si="15"/>
        <v>246.70000000000002</v>
      </c>
      <c r="T462" s="1">
        <v>77.5</v>
      </c>
    </row>
    <row r="463" spans="1:20" ht="15.75" customHeight="1" x14ac:dyDescent="0.2">
      <c r="A463" s="6">
        <v>463</v>
      </c>
      <c r="C463" s="1">
        <v>96</v>
      </c>
      <c r="D463" s="1">
        <v>0.5</v>
      </c>
      <c r="E463" s="1">
        <v>3.5</v>
      </c>
      <c r="F463" s="1" t="s">
        <v>76</v>
      </c>
      <c r="G463" s="1" t="s">
        <v>178</v>
      </c>
      <c r="H463" s="1" t="s">
        <v>253</v>
      </c>
      <c r="J463" s="9">
        <f t="shared" si="16"/>
        <v>101.19999999999999</v>
      </c>
      <c r="K463" s="1">
        <v>1300</v>
      </c>
      <c r="L463" s="1" t="s">
        <v>10</v>
      </c>
      <c r="N463" s="14" t="s">
        <v>303</v>
      </c>
      <c r="P463" s="1" t="s">
        <v>234</v>
      </c>
      <c r="S463" s="1">
        <f t="shared" si="15"/>
        <v>101.19999999999999</v>
      </c>
      <c r="T463" s="1">
        <v>31.8</v>
      </c>
    </row>
    <row r="464" spans="1:20" ht="15.75" customHeight="1" x14ac:dyDescent="0.2">
      <c r="A464" s="6">
        <v>464</v>
      </c>
      <c r="C464" s="1">
        <v>96</v>
      </c>
      <c r="D464" s="1">
        <v>1</v>
      </c>
      <c r="E464" s="1">
        <v>2</v>
      </c>
      <c r="F464" s="1" t="s">
        <v>12</v>
      </c>
      <c r="G464" s="1" t="s">
        <v>183</v>
      </c>
      <c r="H464" s="1" t="s">
        <v>380</v>
      </c>
      <c r="J464" s="9">
        <f t="shared" si="16"/>
        <v>122.89999999999999</v>
      </c>
      <c r="K464" s="1">
        <v>1300</v>
      </c>
      <c r="L464" s="1" t="s">
        <v>10</v>
      </c>
      <c r="N464" s="14" t="s">
        <v>289</v>
      </c>
      <c r="P464" s="1" t="s">
        <v>32</v>
      </c>
      <c r="Q464" s="1" t="s">
        <v>42</v>
      </c>
      <c r="S464" s="1">
        <f t="shared" si="15"/>
        <v>122.89999999999999</v>
      </c>
      <c r="T464" s="1">
        <v>38.6</v>
      </c>
    </row>
    <row r="465" spans="1:20" ht="15.75" customHeight="1" x14ac:dyDescent="0.2">
      <c r="A465" s="6">
        <v>465</v>
      </c>
      <c r="C465" s="1">
        <v>96</v>
      </c>
      <c r="D465" s="1">
        <v>4.5</v>
      </c>
      <c r="E465" s="1">
        <v>2</v>
      </c>
      <c r="F465" s="1" t="s">
        <v>12</v>
      </c>
      <c r="G465" s="1" t="s">
        <v>183</v>
      </c>
      <c r="H465" s="1" t="s">
        <v>380</v>
      </c>
      <c r="J465" s="9">
        <f t="shared" si="16"/>
        <v>139.70000000000002</v>
      </c>
      <c r="K465" s="1">
        <v>1300</v>
      </c>
      <c r="L465" s="1" t="s">
        <v>10</v>
      </c>
      <c r="N465" s="1" t="s">
        <v>219</v>
      </c>
      <c r="P465" s="1" t="s">
        <v>234</v>
      </c>
      <c r="Q465" s="1" t="s">
        <v>42</v>
      </c>
      <c r="S465" s="1">
        <f t="shared" si="15"/>
        <v>139.70000000000002</v>
      </c>
      <c r="T465" s="1">
        <v>43.9</v>
      </c>
    </row>
    <row r="466" spans="1:20" ht="15.75" customHeight="1" x14ac:dyDescent="0.2">
      <c r="A466" s="6">
        <v>466</v>
      </c>
      <c r="C466" s="1">
        <v>96</v>
      </c>
      <c r="D466" s="1">
        <v>5.5</v>
      </c>
      <c r="E466" s="1">
        <v>0.2</v>
      </c>
      <c r="F466" s="1" t="s">
        <v>22</v>
      </c>
      <c r="G466" s="1" t="s">
        <v>324</v>
      </c>
      <c r="H466" s="1" t="s">
        <v>23</v>
      </c>
      <c r="J466" s="9">
        <f t="shared" si="16"/>
        <v>153.4</v>
      </c>
      <c r="K466" s="1">
        <v>1300</v>
      </c>
      <c r="L466" s="1" t="s">
        <v>10</v>
      </c>
      <c r="N466" s="14" t="s">
        <v>327</v>
      </c>
      <c r="P466" s="1" t="s">
        <v>234</v>
      </c>
      <c r="S466" s="1">
        <f t="shared" si="15"/>
        <v>153.4</v>
      </c>
      <c r="T466" s="1">
        <v>48.2</v>
      </c>
    </row>
    <row r="467" spans="1:20" ht="15.75" customHeight="1" x14ac:dyDescent="0.2">
      <c r="A467" s="6">
        <v>467</v>
      </c>
      <c r="C467" s="1">
        <v>96</v>
      </c>
      <c r="D467" s="1">
        <v>8.5</v>
      </c>
      <c r="E467" s="1">
        <v>7</v>
      </c>
      <c r="F467" s="1" t="s">
        <v>39</v>
      </c>
      <c r="G467" s="1" t="s">
        <v>284</v>
      </c>
      <c r="H467" s="1" t="s">
        <v>385</v>
      </c>
      <c r="J467" s="9">
        <f t="shared" si="16"/>
        <v>375.6</v>
      </c>
      <c r="K467" s="1">
        <v>1300</v>
      </c>
      <c r="L467" s="1" t="s">
        <v>5</v>
      </c>
      <c r="N467" s="14" t="s">
        <v>292</v>
      </c>
      <c r="P467" s="1" t="s">
        <v>32</v>
      </c>
      <c r="S467" s="1">
        <f t="shared" si="15"/>
        <v>375.6</v>
      </c>
      <c r="T467" s="1">
        <v>118</v>
      </c>
    </row>
    <row r="468" spans="1:20" ht="15.75" customHeight="1" x14ac:dyDescent="0.2">
      <c r="A468" s="6">
        <v>468</v>
      </c>
      <c r="C468" s="1">
        <v>97</v>
      </c>
      <c r="D468" s="1">
        <v>2</v>
      </c>
      <c r="E468" s="1">
        <v>8</v>
      </c>
      <c r="F468" s="1" t="s">
        <v>76</v>
      </c>
      <c r="G468" s="1" t="s">
        <v>178</v>
      </c>
      <c r="H468" s="1" t="s">
        <v>253</v>
      </c>
      <c r="J468" s="9">
        <f t="shared" si="16"/>
        <v>247</v>
      </c>
      <c r="K468" s="1">
        <v>1300</v>
      </c>
      <c r="L468" s="1" t="s">
        <v>34</v>
      </c>
      <c r="N468" s="14" t="s">
        <v>303</v>
      </c>
      <c r="P468" s="1" t="s">
        <v>234</v>
      </c>
      <c r="S468" s="1">
        <f t="shared" si="15"/>
        <v>247</v>
      </c>
      <c r="T468" s="1">
        <v>77.599999999999994</v>
      </c>
    </row>
    <row r="469" spans="1:20" ht="15.75" customHeight="1" x14ac:dyDescent="0.2">
      <c r="A469" s="6">
        <v>469</v>
      </c>
      <c r="C469" s="1">
        <v>97</v>
      </c>
      <c r="D469" s="1">
        <v>2</v>
      </c>
      <c r="E469" s="1">
        <v>4.5</v>
      </c>
      <c r="F469" s="1" t="s">
        <v>48</v>
      </c>
      <c r="G469" s="1" t="s">
        <v>190</v>
      </c>
      <c r="H469" s="1" t="s">
        <v>249</v>
      </c>
      <c r="J469" s="9">
        <f t="shared" si="16"/>
        <v>248.29999999999998</v>
      </c>
      <c r="K469" s="1">
        <v>1300</v>
      </c>
      <c r="L469" s="1" t="s">
        <v>10</v>
      </c>
      <c r="N469" s="1" t="s">
        <v>212</v>
      </c>
      <c r="P469" s="1" t="s">
        <v>234</v>
      </c>
      <c r="S469" s="1">
        <f t="shared" si="15"/>
        <v>248.29999999999998</v>
      </c>
      <c r="T469" s="1">
        <v>78</v>
      </c>
    </row>
    <row r="470" spans="1:20" ht="15.75" customHeight="1" x14ac:dyDescent="0.2">
      <c r="A470" s="6">
        <v>470</v>
      </c>
      <c r="C470" s="1">
        <v>97</v>
      </c>
      <c r="D470" s="1">
        <v>8</v>
      </c>
      <c r="E470" s="1">
        <v>5</v>
      </c>
      <c r="F470" s="1" t="s">
        <v>12</v>
      </c>
      <c r="G470" s="1" t="s">
        <v>183</v>
      </c>
      <c r="H470" s="1" t="s">
        <v>380</v>
      </c>
      <c r="J470" s="9">
        <f t="shared" si="16"/>
        <v>100.3</v>
      </c>
      <c r="K470" s="1">
        <v>1300</v>
      </c>
      <c r="L470" s="1" t="s">
        <v>10</v>
      </c>
      <c r="N470" s="1" t="s">
        <v>219</v>
      </c>
      <c r="P470" s="1" t="s">
        <v>234</v>
      </c>
      <c r="Q470" s="1" t="s">
        <v>42</v>
      </c>
      <c r="S470" s="1">
        <f t="shared" si="15"/>
        <v>100.3</v>
      </c>
      <c r="T470" s="1">
        <v>31.5</v>
      </c>
    </row>
    <row r="471" spans="1:20" ht="15.75" customHeight="1" x14ac:dyDescent="0.2">
      <c r="A471" s="6">
        <v>471</v>
      </c>
      <c r="C471" s="1">
        <v>97</v>
      </c>
      <c r="D471" s="1">
        <v>1.5</v>
      </c>
      <c r="E471" s="1">
        <v>1</v>
      </c>
      <c r="F471" s="1" t="s">
        <v>39</v>
      </c>
      <c r="G471" s="1" t="s">
        <v>16</v>
      </c>
      <c r="H471" s="1" t="s">
        <v>174</v>
      </c>
      <c r="J471" s="9">
        <f t="shared" si="16"/>
        <v>249.20000000000002</v>
      </c>
      <c r="K471" s="1">
        <v>1300</v>
      </c>
      <c r="L471" s="1" t="s">
        <v>175</v>
      </c>
      <c r="N471" s="14" t="s">
        <v>316</v>
      </c>
      <c r="P471" s="1" t="s">
        <v>32</v>
      </c>
      <c r="S471" s="1">
        <f t="shared" si="15"/>
        <v>249.20000000000002</v>
      </c>
      <c r="T471" s="1">
        <v>78.3</v>
      </c>
    </row>
    <row r="472" spans="1:20" ht="15.75" customHeight="1" x14ac:dyDescent="0.2">
      <c r="A472" s="6">
        <v>472</v>
      </c>
      <c r="C472" s="1">
        <v>98</v>
      </c>
      <c r="D472" s="1">
        <v>6.5</v>
      </c>
      <c r="E472" s="1">
        <v>9.5</v>
      </c>
      <c r="F472" s="1" t="s">
        <v>39</v>
      </c>
      <c r="G472" s="1" t="s">
        <v>277</v>
      </c>
      <c r="H472" s="1" t="s">
        <v>236</v>
      </c>
      <c r="J472" s="9">
        <f t="shared" si="16"/>
        <v>167.7</v>
      </c>
      <c r="K472" s="1">
        <v>1300</v>
      </c>
      <c r="L472" s="1" t="s">
        <v>10</v>
      </c>
      <c r="N472" s="14" t="s">
        <v>298</v>
      </c>
      <c r="P472" s="1" t="s">
        <v>234</v>
      </c>
      <c r="S472" s="1">
        <f t="shared" si="15"/>
        <v>167.7</v>
      </c>
      <c r="T472" s="1">
        <v>52.7</v>
      </c>
    </row>
    <row r="473" spans="1:20" ht="15.75" customHeight="1" x14ac:dyDescent="0.2">
      <c r="A473" s="6">
        <v>473</v>
      </c>
      <c r="C473" s="1">
        <v>98</v>
      </c>
      <c r="D473" s="1">
        <v>8</v>
      </c>
      <c r="E473" s="1">
        <v>9.5</v>
      </c>
      <c r="F473" s="1" t="s">
        <v>22</v>
      </c>
      <c r="G473" s="1" t="s">
        <v>130</v>
      </c>
      <c r="H473" s="1" t="s">
        <v>62</v>
      </c>
      <c r="J473" s="9">
        <f t="shared" si="16"/>
        <v>123.5</v>
      </c>
      <c r="K473" s="1">
        <v>1300</v>
      </c>
      <c r="L473" s="1" t="s">
        <v>10</v>
      </c>
      <c r="N473" s="14" t="s">
        <v>322</v>
      </c>
      <c r="P473" s="1" t="s">
        <v>234</v>
      </c>
      <c r="S473" s="1">
        <f t="shared" si="15"/>
        <v>123.5</v>
      </c>
      <c r="T473" s="1">
        <v>38.799999999999997</v>
      </c>
    </row>
    <row r="474" spans="1:20" ht="15.75" customHeight="1" x14ac:dyDescent="0.2">
      <c r="A474" s="6">
        <v>474</v>
      </c>
      <c r="C474" s="1">
        <v>98</v>
      </c>
      <c r="D474" s="1">
        <v>8</v>
      </c>
      <c r="E474" s="1">
        <v>8</v>
      </c>
      <c r="F474" s="1" t="s">
        <v>39</v>
      </c>
      <c r="G474" s="1" t="s">
        <v>401</v>
      </c>
      <c r="H474" s="1" t="s">
        <v>262</v>
      </c>
      <c r="J474" s="9">
        <f t="shared" si="16"/>
        <v>101.5</v>
      </c>
      <c r="K474" s="1">
        <v>1300</v>
      </c>
      <c r="L474" s="1" t="s">
        <v>10</v>
      </c>
      <c r="N474" s="1" t="s">
        <v>233</v>
      </c>
      <c r="P474" s="1" t="s">
        <v>234</v>
      </c>
      <c r="S474" s="1">
        <f t="shared" si="15"/>
        <v>101.5</v>
      </c>
      <c r="T474" s="1">
        <v>31.9</v>
      </c>
    </row>
    <row r="475" spans="1:20" ht="15.75" customHeight="1" x14ac:dyDescent="0.2">
      <c r="A475" s="6">
        <v>475</v>
      </c>
      <c r="C475" s="1">
        <v>98</v>
      </c>
      <c r="D475" s="1">
        <v>6.5</v>
      </c>
      <c r="E475" s="1">
        <v>6</v>
      </c>
      <c r="F475" s="1" t="s">
        <v>20</v>
      </c>
      <c r="G475" s="1" t="s">
        <v>405</v>
      </c>
      <c r="H475" s="1" t="s">
        <v>47</v>
      </c>
      <c r="J475" s="9">
        <f t="shared" si="16"/>
        <v>297</v>
      </c>
      <c r="K475" s="1">
        <v>1300</v>
      </c>
      <c r="L475" s="1" t="s">
        <v>10</v>
      </c>
      <c r="S475" s="1">
        <f t="shared" si="15"/>
        <v>297</v>
      </c>
      <c r="T475" s="1">
        <v>93.3</v>
      </c>
    </row>
    <row r="476" spans="1:20" ht="15.75" customHeight="1" x14ac:dyDescent="0.2">
      <c r="A476" s="6">
        <v>476</v>
      </c>
      <c r="C476" s="1">
        <v>98</v>
      </c>
      <c r="D476" s="1">
        <v>2</v>
      </c>
      <c r="E476" s="1">
        <v>7.5</v>
      </c>
      <c r="F476" s="1" t="s">
        <v>12</v>
      </c>
      <c r="G476" s="1" t="s">
        <v>183</v>
      </c>
      <c r="H476" s="1" t="s">
        <v>380</v>
      </c>
      <c r="J476" s="9">
        <f t="shared" si="16"/>
        <v>146.69999999999999</v>
      </c>
      <c r="K476" s="1">
        <v>1300</v>
      </c>
      <c r="L476" s="1" t="s">
        <v>10</v>
      </c>
      <c r="N476" s="1" t="s">
        <v>219</v>
      </c>
      <c r="P476" s="1" t="s">
        <v>234</v>
      </c>
      <c r="Q476" s="1" t="s">
        <v>42</v>
      </c>
      <c r="S476" s="1">
        <f t="shared" si="15"/>
        <v>146.69999999999999</v>
      </c>
      <c r="T476" s="1">
        <v>46.1</v>
      </c>
    </row>
    <row r="477" spans="1:20" ht="15.75" customHeight="1" x14ac:dyDescent="0.2">
      <c r="A477" s="6">
        <v>477</v>
      </c>
      <c r="C477" s="1">
        <v>98</v>
      </c>
      <c r="D477" s="1">
        <v>1</v>
      </c>
      <c r="E477" s="1">
        <v>5</v>
      </c>
      <c r="F477" s="1" t="s">
        <v>48</v>
      </c>
      <c r="G477" s="1" t="s">
        <v>189</v>
      </c>
      <c r="H477" s="1" t="s">
        <v>49</v>
      </c>
      <c r="J477" s="9">
        <f t="shared" si="16"/>
        <v>135.9</v>
      </c>
      <c r="K477" s="1">
        <v>1300</v>
      </c>
      <c r="L477" s="1" t="s">
        <v>10</v>
      </c>
      <c r="N477" s="1" t="s">
        <v>208</v>
      </c>
      <c r="P477" s="1" t="s">
        <v>234</v>
      </c>
      <c r="S477" s="1">
        <f t="shared" si="15"/>
        <v>135.9</v>
      </c>
      <c r="T477" s="1">
        <v>42.7</v>
      </c>
    </row>
    <row r="478" spans="1:20" ht="15.75" customHeight="1" x14ac:dyDescent="0.2">
      <c r="A478" s="6">
        <v>478</v>
      </c>
      <c r="C478" s="1">
        <v>98</v>
      </c>
      <c r="D478" s="1">
        <v>4</v>
      </c>
      <c r="E478" s="1">
        <v>5</v>
      </c>
      <c r="F478" s="1" t="s">
        <v>39</v>
      </c>
      <c r="G478" s="1" t="s">
        <v>401</v>
      </c>
      <c r="H478" s="1" t="s">
        <v>262</v>
      </c>
      <c r="J478" s="9">
        <f t="shared" si="16"/>
        <v>101.5</v>
      </c>
      <c r="K478" s="1">
        <v>1300</v>
      </c>
      <c r="L478" s="1" t="s">
        <v>19</v>
      </c>
      <c r="N478" s="1" t="s">
        <v>233</v>
      </c>
      <c r="P478" s="1" t="s">
        <v>234</v>
      </c>
      <c r="Q478" s="1" t="s">
        <v>176</v>
      </c>
      <c r="S478" s="1">
        <f t="shared" si="15"/>
        <v>101.5</v>
      </c>
      <c r="T478" s="1">
        <v>31.9</v>
      </c>
    </row>
    <row r="479" spans="1:20" ht="15.75" customHeight="1" x14ac:dyDescent="0.2">
      <c r="A479" s="6">
        <v>479</v>
      </c>
      <c r="C479" s="1">
        <v>98</v>
      </c>
      <c r="D479" s="1">
        <v>1</v>
      </c>
      <c r="E479" s="1">
        <v>1.5</v>
      </c>
      <c r="F479" s="1" t="s">
        <v>48</v>
      </c>
      <c r="G479" s="1" t="s">
        <v>190</v>
      </c>
      <c r="H479" s="1" t="s">
        <v>249</v>
      </c>
      <c r="J479" s="9">
        <f t="shared" si="16"/>
        <v>485.4</v>
      </c>
      <c r="K479" s="1">
        <v>1300</v>
      </c>
      <c r="L479" s="1" t="s">
        <v>10</v>
      </c>
      <c r="N479" s="1" t="s">
        <v>212</v>
      </c>
      <c r="P479" s="1" t="s">
        <v>234</v>
      </c>
      <c r="S479" s="1">
        <f t="shared" si="15"/>
        <v>485.4</v>
      </c>
      <c r="T479" s="1">
        <v>152.5</v>
      </c>
    </row>
    <row r="480" spans="1:20" ht="15.75" customHeight="1" x14ac:dyDescent="0.2">
      <c r="A480" s="6">
        <v>480</v>
      </c>
      <c r="C480" s="1">
        <v>98</v>
      </c>
      <c r="D480" s="1">
        <v>2</v>
      </c>
      <c r="E480" s="1">
        <v>0.5</v>
      </c>
      <c r="F480" s="1" t="s">
        <v>65</v>
      </c>
      <c r="G480" s="1" t="s">
        <v>182</v>
      </c>
      <c r="H480" s="1" t="s">
        <v>66</v>
      </c>
      <c r="J480" s="9">
        <f t="shared" si="16"/>
        <v>214.5</v>
      </c>
      <c r="K480" s="1">
        <v>1300</v>
      </c>
      <c r="L480" s="1" t="s">
        <v>55</v>
      </c>
      <c r="N480" s="1" t="s">
        <v>213</v>
      </c>
      <c r="P480" s="1" t="s">
        <v>234</v>
      </c>
      <c r="S480" s="1">
        <f t="shared" si="15"/>
        <v>214.5</v>
      </c>
      <c r="T480" s="1">
        <v>67.400000000000006</v>
      </c>
    </row>
    <row r="481" spans="1:20" ht="15.75" customHeight="1" x14ac:dyDescent="0.2">
      <c r="A481" s="6">
        <v>481</v>
      </c>
      <c r="C481" s="1">
        <v>98</v>
      </c>
      <c r="D481" s="1">
        <v>9</v>
      </c>
      <c r="E481" s="1">
        <v>1</v>
      </c>
      <c r="F481" s="1" t="s">
        <v>186</v>
      </c>
      <c r="G481" s="1" t="s">
        <v>200</v>
      </c>
      <c r="H481" s="1" t="s">
        <v>255</v>
      </c>
      <c r="J481" s="9">
        <f t="shared" si="16"/>
        <v>336.5</v>
      </c>
      <c r="K481" s="1">
        <v>1300</v>
      </c>
      <c r="L481" s="1" t="s">
        <v>28</v>
      </c>
      <c r="N481" s="1" t="s">
        <v>228</v>
      </c>
      <c r="P481" s="1" t="s">
        <v>234</v>
      </c>
      <c r="S481" s="1">
        <f t="shared" si="15"/>
        <v>336.5</v>
      </c>
      <c r="T481" s="1">
        <v>105.7</v>
      </c>
    </row>
    <row r="482" spans="1:20" ht="15.75" customHeight="1" x14ac:dyDescent="0.2">
      <c r="A482" s="6">
        <v>482</v>
      </c>
      <c r="C482" s="1">
        <v>99</v>
      </c>
      <c r="D482" s="1">
        <v>7</v>
      </c>
      <c r="E482" s="1">
        <v>8.5</v>
      </c>
      <c r="F482" s="1" t="s">
        <v>20</v>
      </c>
      <c r="G482" s="1" t="s">
        <v>405</v>
      </c>
      <c r="H482" s="1" t="s">
        <v>47</v>
      </c>
      <c r="J482" s="9">
        <f t="shared" si="16"/>
        <v>295.10000000000002</v>
      </c>
      <c r="K482" s="1">
        <v>1300</v>
      </c>
      <c r="L482" s="1" t="s">
        <v>10</v>
      </c>
      <c r="S482" s="1">
        <f t="shared" si="15"/>
        <v>295.10000000000002</v>
      </c>
      <c r="T482" s="1">
        <v>92.7</v>
      </c>
    </row>
    <row r="483" spans="1:20" ht="15.75" customHeight="1" x14ac:dyDescent="0.2">
      <c r="A483" s="6">
        <v>483</v>
      </c>
      <c r="C483" s="1">
        <v>99</v>
      </c>
      <c r="D483" s="1">
        <v>7.5</v>
      </c>
      <c r="E483" s="1">
        <v>6</v>
      </c>
      <c r="F483" s="1" t="s">
        <v>12</v>
      </c>
      <c r="G483" s="1" t="s">
        <v>183</v>
      </c>
      <c r="H483" s="1" t="s">
        <v>380</v>
      </c>
      <c r="J483" s="9">
        <f t="shared" si="16"/>
        <v>164.89999999999998</v>
      </c>
      <c r="K483" s="1">
        <v>1300</v>
      </c>
      <c r="L483" s="1" t="s">
        <v>10</v>
      </c>
      <c r="N483" s="1" t="s">
        <v>219</v>
      </c>
      <c r="P483" s="1" t="s">
        <v>234</v>
      </c>
      <c r="Q483" s="1" t="s">
        <v>42</v>
      </c>
      <c r="S483" s="1">
        <f t="shared" si="15"/>
        <v>164.89999999999998</v>
      </c>
      <c r="T483" s="1">
        <v>51.8</v>
      </c>
    </row>
    <row r="484" spans="1:20" ht="15.75" customHeight="1" x14ac:dyDescent="0.2">
      <c r="A484" s="6">
        <v>484</v>
      </c>
      <c r="C484" s="1">
        <v>99</v>
      </c>
      <c r="D484" s="1">
        <v>6</v>
      </c>
      <c r="E484" s="1">
        <v>4.5</v>
      </c>
      <c r="F484" s="1" t="s">
        <v>22</v>
      </c>
      <c r="G484" s="1" t="s">
        <v>193</v>
      </c>
      <c r="H484" s="1" t="s">
        <v>261</v>
      </c>
      <c r="J484" s="9">
        <f t="shared" si="16"/>
        <v>123.80000000000001</v>
      </c>
      <c r="K484" s="1">
        <v>1300</v>
      </c>
      <c r="L484" s="1" t="s">
        <v>19</v>
      </c>
      <c r="N484" s="1" t="s">
        <v>224</v>
      </c>
      <c r="P484" s="1" t="s">
        <v>234</v>
      </c>
      <c r="Q484" s="1" t="s">
        <v>123</v>
      </c>
      <c r="S484" s="1">
        <f t="shared" si="15"/>
        <v>123.80000000000001</v>
      </c>
      <c r="T484" s="1">
        <v>38.9</v>
      </c>
    </row>
    <row r="485" spans="1:20" ht="15.75" customHeight="1" x14ac:dyDescent="0.2">
      <c r="A485" s="6">
        <v>485</v>
      </c>
      <c r="C485" s="1">
        <v>99</v>
      </c>
      <c r="D485" s="1">
        <v>10</v>
      </c>
      <c r="E485" s="1">
        <v>2.5</v>
      </c>
      <c r="F485" s="1" t="s">
        <v>86</v>
      </c>
      <c r="G485" s="1" t="s">
        <v>197</v>
      </c>
      <c r="H485" s="1" t="s">
        <v>250</v>
      </c>
      <c r="J485" s="9">
        <f t="shared" si="16"/>
        <v>348.2</v>
      </c>
      <c r="K485" s="1">
        <v>1300</v>
      </c>
      <c r="L485" s="1" t="s">
        <v>10</v>
      </c>
      <c r="N485" s="1" t="s">
        <v>218</v>
      </c>
      <c r="P485" s="1" t="s">
        <v>234</v>
      </c>
      <c r="S485" s="1">
        <f t="shared" si="15"/>
        <v>348.2</v>
      </c>
      <c r="T485" s="1">
        <v>109.4</v>
      </c>
    </row>
    <row r="486" spans="1:20" ht="15.75" customHeight="1" x14ac:dyDescent="0.2">
      <c r="A486" s="6">
        <v>486</v>
      </c>
      <c r="C486" s="1">
        <v>99</v>
      </c>
      <c r="D486" s="1">
        <v>7</v>
      </c>
      <c r="E486" s="1">
        <v>1</v>
      </c>
      <c r="F486" s="1" t="s">
        <v>15</v>
      </c>
      <c r="G486" s="1" t="s">
        <v>16</v>
      </c>
      <c r="H486" s="1" t="s">
        <v>388</v>
      </c>
      <c r="J486" s="9">
        <f t="shared" si="16"/>
        <v>454.5</v>
      </c>
      <c r="K486" s="1">
        <v>1300</v>
      </c>
      <c r="L486" s="1" t="s">
        <v>34</v>
      </c>
      <c r="N486" s="14" t="s">
        <v>337</v>
      </c>
      <c r="P486" s="1" t="s">
        <v>32</v>
      </c>
      <c r="S486" s="1">
        <f t="shared" si="15"/>
        <v>454.5</v>
      </c>
      <c r="T486" s="1">
        <v>142.80000000000001</v>
      </c>
    </row>
    <row r="487" spans="1:20" ht="15.75" customHeight="1" x14ac:dyDescent="0.2">
      <c r="A487" s="6">
        <v>487</v>
      </c>
      <c r="C487" s="1">
        <v>100</v>
      </c>
      <c r="D487" s="1">
        <v>4.5</v>
      </c>
      <c r="E487" s="1">
        <v>9.8000000000000007</v>
      </c>
      <c r="F487" s="1" t="s">
        <v>12</v>
      </c>
      <c r="G487" s="1" t="s">
        <v>183</v>
      </c>
      <c r="H487" s="1" t="s">
        <v>380</v>
      </c>
      <c r="J487" s="9">
        <f t="shared" si="16"/>
        <v>149.9</v>
      </c>
      <c r="K487" s="1">
        <v>1300</v>
      </c>
      <c r="L487" s="1" t="s">
        <v>10</v>
      </c>
      <c r="N487" s="1" t="s">
        <v>219</v>
      </c>
      <c r="P487" s="1" t="s">
        <v>234</v>
      </c>
      <c r="Q487" s="1" t="s">
        <v>42</v>
      </c>
      <c r="S487" s="1">
        <f t="shared" si="15"/>
        <v>149.9</v>
      </c>
      <c r="T487" s="1">
        <v>47.1</v>
      </c>
    </row>
    <row r="488" spans="1:20" ht="15.75" customHeight="1" x14ac:dyDescent="0.2">
      <c r="A488" s="6">
        <v>488</v>
      </c>
      <c r="C488" s="1">
        <v>100</v>
      </c>
      <c r="D488" s="1">
        <v>0.4</v>
      </c>
      <c r="E488" s="1">
        <v>9.5</v>
      </c>
      <c r="F488" s="1" t="s">
        <v>48</v>
      </c>
      <c r="G488" s="1" t="s">
        <v>189</v>
      </c>
      <c r="H488" s="1" t="s">
        <v>49</v>
      </c>
      <c r="J488" s="9">
        <f t="shared" si="16"/>
        <v>101.19999999999999</v>
      </c>
      <c r="K488" s="1">
        <v>1300</v>
      </c>
      <c r="L488" s="1" t="s">
        <v>10</v>
      </c>
      <c r="N488" s="1" t="s">
        <v>208</v>
      </c>
      <c r="P488" s="1" t="s">
        <v>234</v>
      </c>
      <c r="S488" s="1">
        <f t="shared" si="15"/>
        <v>101.19999999999999</v>
      </c>
      <c r="T488" s="1">
        <v>31.8</v>
      </c>
    </row>
    <row r="489" spans="1:20" ht="15.75" customHeight="1" x14ac:dyDescent="0.2">
      <c r="A489" s="6">
        <v>489</v>
      </c>
      <c r="C489" s="1">
        <v>100</v>
      </c>
      <c r="D489" s="1">
        <v>0.5</v>
      </c>
      <c r="E489" s="1">
        <v>9</v>
      </c>
      <c r="F489" s="1" t="s">
        <v>114</v>
      </c>
      <c r="G489" s="1" t="s">
        <v>370</v>
      </c>
      <c r="H489" s="1" t="s">
        <v>378</v>
      </c>
      <c r="J489" s="9">
        <f t="shared" si="16"/>
        <v>282.3</v>
      </c>
      <c r="K489" s="1">
        <v>1300</v>
      </c>
      <c r="L489" s="1" t="s">
        <v>168</v>
      </c>
      <c r="N489" s="1" t="s">
        <v>350</v>
      </c>
      <c r="P489" s="1" t="s">
        <v>32</v>
      </c>
      <c r="S489" s="1">
        <f t="shared" si="15"/>
        <v>282.3</v>
      </c>
      <c r="T489" s="1">
        <v>88.7</v>
      </c>
    </row>
    <row r="490" spans="1:20" ht="15.75" customHeight="1" x14ac:dyDescent="0.2">
      <c r="A490" s="6">
        <v>490</v>
      </c>
      <c r="C490" s="1">
        <v>100</v>
      </c>
      <c r="D490" s="1">
        <v>0.1</v>
      </c>
      <c r="E490" s="1">
        <v>5.5</v>
      </c>
      <c r="F490" s="1" t="s">
        <v>20</v>
      </c>
      <c r="G490" s="1" t="s">
        <v>405</v>
      </c>
      <c r="H490" s="13" t="s">
        <v>47</v>
      </c>
      <c r="J490" s="9">
        <f t="shared" si="16"/>
        <v>380.4</v>
      </c>
      <c r="K490" s="1">
        <v>1300</v>
      </c>
      <c r="L490" s="1" t="s">
        <v>10</v>
      </c>
      <c r="S490" s="1">
        <f t="shared" si="15"/>
        <v>380.4</v>
      </c>
      <c r="T490" s="1">
        <v>119.5</v>
      </c>
    </row>
    <row r="491" spans="1:20" ht="15.75" customHeight="1" x14ac:dyDescent="0.2">
      <c r="A491" s="6">
        <v>491</v>
      </c>
      <c r="C491" s="1">
        <v>100</v>
      </c>
      <c r="D491" s="1">
        <v>5</v>
      </c>
      <c r="E491" s="1">
        <v>6.5</v>
      </c>
      <c r="F491" s="1" t="s">
        <v>93</v>
      </c>
      <c r="G491" s="1" t="s">
        <v>94</v>
      </c>
      <c r="H491" s="1" t="s">
        <v>344</v>
      </c>
      <c r="J491" s="9">
        <f t="shared" si="16"/>
        <v>106.6</v>
      </c>
      <c r="K491" s="1">
        <v>1300</v>
      </c>
      <c r="L491" s="1" t="s">
        <v>10</v>
      </c>
      <c r="S491" s="1">
        <f t="shared" si="15"/>
        <v>106.6</v>
      </c>
      <c r="T491" s="1">
        <v>33.5</v>
      </c>
    </row>
    <row r="492" spans="1:20" ht="15.75" customHeight="1" x14ac:dyDescent="0.2">
      <c r="A492" s="6">
        <v>492</v>
      </c>
      <c r="C492" s="1">
        <v>100</v>
      </c>
      <c r="D492" s="1">
        <v>7</v>
      </c>
      <c r="E492" s="1">
        <v>5</v>
      </c>
      <c r="F492" s="1" t="s">
        <v>12</v>
      </c>
      <c r="G492" s="1" t="s">
        <v>183</v>
      </c>
      <c r="H492" s="1" t="s">
        <v>380</v>
      </c>
      <c r="J492" s="9">
        <f t="shared" si="16"/>
        <v>100.60000000000001</v>
      </c>
      <c r="K492" s="1">
        <v>1300</v>
      </c>
      <c r="L492" s="1" t="s">
        <v>10</v>
      </c>
      <c r="N492" s="1" t="s">
        <v>219</v>
      </c>
      <c r="P492" s="1" t="s">
        <v>234</v>
      </c>
      <c r="Q492" s="1" t="s">
        <v>42</v>
      </c>
      <c r="S492" s="1">
        <f t="shared" si="15"/>
        <v>100.60000000000001</v>
      </c>
      <c r="T492" s="1">
        <v>31.6</v>
      </c>
    </row>
    <row r="493" spans="1:20" ht="15.75" customHeight="1" x14ac:dyDescent="0.2">
      <c r="A493" s="6">
        <v>493</v>
      </c>
      <c r="C493" s="1">
        <v>100</v>
      </c>
      <c r="D493" s="1">
        <v>9</v>
      </c>
      <c r="E493" s="1">
        <v>1</v>
      </c>
      <c r="F493" s="1" t="s">
        <v>198</v>
      </c>
      <c r="G493" s="1" t="s">
        <v>199</v>
      </c>
      <c r="H493" s="1" t="s">
        <v>390</v>
      </c>
      <c r="J493" s="9">
        <f t="shared" si="16"/>
        <v>1117.3</v>
      </c>
      <c r="K493" s="1">
        <v>1300</v>
      </c>
      <c r="L493" s="1" t="s">
        <v>177</v>
      </c>
      <c r="N493" s="1" t="s">
        <v>220</v>
      </c>
      <c r="P493" s="1" t="s">
        <v>234</v>
      </c>
      <c r="Q493" s="1" t="s">
        <v>119</v>
      </c>
      <c r="S493" s="1">
        <f t="shared" si="15"/>
        <v>1117.3</v>
      </c>
      <c r="T493" s="1">
        <v>351</v>
      </c>
    </row>
  </sheetData>
  <autoFilter ref="A2:T493" xr:uid="{00000000-0001-0000-0000-000000000000}"/>
  <mergeCells count="2">
    <mergeCell ref="C1:H1"/>
    <mergeCell ref="J1:K1"/>
  </mergeCells>
  <conditionalFormatting sqref="O2:O3 O170:P171 Q275 R116 O167:O168 N4:O4 N172:O173 N145:O145 N27:O27 O26 N187:O187 O186 N297:O304 O296 N74:O75 N54:O56 N465:O465 N229:O240 O228 N165:O166 O163:O164 N31:O45 O30 N469:O470 N58:O60 O57 N127:O127 O126 N125:O125 N189:O191 O188 N131:O135 O130 O28 N436:O436 N474:O485 N120:O122 N352:O352 O350:O351 N380:O386 O379 N50:O50 N278:O283 O277 N285:O295 O284 O76 N209:O224 O208 O463:O464 N194:O198 N365:O365 O364 N450:O450 O449 N361:O361 O360 N397:O399 O396 N354:O354 O353 N438:O448 O437 N137:O138 N141:O142 O136 N154:O154 O153 N244:O245 O243 N306:O306 O305 N247:O248 O246 N156:O159 O155 N415:O417 O414 N250:O254 O249 N337:O337 O336 O71:O73 N356:O357 O355 N419:O421 O418 N175:O180 O174 O434:O435 N62:O70 O61 N226:O227 O225 N423:O430 O422 O116:O119 N6:O7 O5 O51:O53 N182:O185 O181 N276:O276 O275 N367:O374 O366 O143:O144 O8 N14:O25 O123:O124 O139:O140 O146:O147 N161:O162 O160 N339:O339 O338 N341:O349 O340 N359:O359 O358 O466:O468 N432:O433 O431 N330:O335 N363:O363 O362 O192:O193 N452:O453 O451 N392:O395 N129:O129 O128 N242:O242 O241 N376:O378 O375 N487:O493 O486 N389:O389 O387:O388 N312:O318 O311 N401:O411 O400 N148:O148 N167:N169 P169 N151:O152 O149:O150 N92:O115 O91 O327:O329 N460:O462 O459 N326:O326 N3 N9:O11 N29:O29 N77:O90 O46:O49 O12:O13 N200:O207 O199 N256:O274 O255 N308:O310 O307 N320:O322 O319 O323:O325 O390:O391 N413:O413 O412 N455:O458 O454 O471:O4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Domingos Cardoso</cp:lastModifiedBy>
  <dcterms:modified xsi:type="dcterms:W3CDTF">2026-06-17T01:58:40Z</dcterms:modified>
</cp:coreProperties>
</file>