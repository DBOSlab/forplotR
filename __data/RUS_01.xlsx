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ulia\Desktop\forplotR_package_and_website\_script_to_use_forplotR\data\"/>
    </mc:Choice>
  </mc:AlternateContent>
  <xr:revisionPtr revIDLastSave="0" documentId="13_ncr:1_{9F2A7311-6B28-4250-8BB2-A85B63E8DD8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1" r:id="rId1"/>
  </sheets>
  <definedNames>
    <definedName name="_xlnm._FilterDatabase" localSheetId="0" hidden="1">Data!$A$2:$AK$939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939" i="1" l="1"/>
  <c r="AJ939" i="1"/>
  <c r="AI939" i="1"/>
  <c r="AK938" i="1"/>
  <c r="AJ938" i="1"/>
  <c r="AI938" i="1"/>
  <c r="AC938" i="1"/>
  <c r="AA938" i="1"/>
  <c r="J938" i="1"/>
  <c r="AK937" i="1"/>
  <c r="AJ937" i="1"/>
  <c r="AI937" i="1"/>
  <c r="AC937" i="1"/>
  <c r="AA937" i="1"/>
  <c r="J937" i="1"/>
  <c r="AK936" i="1"/>
  <c r="AJ936" i="1"/>
  <c r="AI936" i="1"/>
  <c r="AC936" i="1"/>
  <c r="AA936" i="1"/>
  <c r="J936" i="1"/>
  <c r="AK935" i="1"/>
  <c r="AJ935" i="1"/>
  <c r="AI935" i="1"/>
  <c r="AC935" i="1"/>
  <c r="AA935" i="1"/>
  <c r="J935" i="1"/>
  <c r="AK934" i="1"/>
  <c r="AJ934" i="1"/>
  <c r="AI934" i="1"/>
  <c r="AC934" i="1"/>
  <c r="AA934" i="1"/>
  <c r="J934" i="1"/>
  <c r="AK933" i="1"/>
  <c r="AJ933" i="1"/>
  <c r="AI933" i="1"/>
  <c r="AC933" i="1"/>
  <c r="AA933" i="1"/>
  <c r="J933" i="1"/>
  <c r="AK932" i="1"/>
  <c r="AJ932" i="1"/>
  <c r="AI932" i="1"/>
  <c r="AC932" i="1"/>
  <c r="AA932" i="1"/>
  <c r="J932" i="1"/>
  <c r="AK931" i="1"/>
  <c r="AJ931" i="1"/>
  <c r="AI931" i="1"/>
  <c r="AC931" i="1"/>
  <c r="AA931" i="1"/>
  <c r="J931" i="1"/>
  <c r="AK930" i="1"/>
  <c r="AJ930" i="1"/>
  <c r="AI930" i="1"/>
  <c r="AC930" i="1"/>
  <c r="AA930" i="1"/>
  <c r="J930" i="1"/>
  <c r="AK929" i="1"/>
  <c r="AJ929" i="1"/>
  <c r="AI929" i="1"/>
  <c r="AC929" i="1"/>
  <c r="AA929" i="1"/>
  <c r="J929" i="1"/>
  <c r="AK928" i="1"/>
  <c r="AJ928" i="1"/>
  <c r="AI928" i="1"/>
  <c r="AC928" i="1"/>
  <c r="AA928" i="1"/>
  <c r="J928" i="1"/>
  <c r="AK927" i="1"/>
  <c r="AJ927" i="1"/>
  <c r="AI927" i="1"/>
  <c r="AC927" i="1"/>
  <c r="AA927" i="1"/>
  <c r="J927" i="1"/>
  <c r="AK926" i="1"/>
  <c r="AJ926" i="1"/>
  <c r="AI926" i="1"/>
  <c r="AC926" i="1"/>
  <c r="AA926" i="1"/>
  <c r="J926" i="1"/>
  <c r="AK925" i="1"/>
  <c r="AJ925" i="1"/>
  <c r="AI925" i="1"/>
  <c r="AC925" i="1"/>
  <c r="AA925" i="1"/>
  <c r="J925" i="1"/>
  <c r="AK924" i="1"/>
  <c r="AJ924" i="1"/>
  <c r="AI924" i="1"/>
  <c r="AC924" i="1"/>
  <c r="AA924" i="1"/>
  <c r="J924" i="1"/>
  <c r="AK923" i="1"/>
  <c r="AJ923" i="1"/>
  <c r="AI923" i="1"/>
  <c r="AC923" i="1"/>
  <c r="AA923" i="1"/>
  <c r="J923" i="1"/>
  <c r="AK922" i="1"/>
  <c r="AJ922" i="1"/>
  <c r="AI922" i="1"/>
  <c r="AC922" i="1"/>
  <c r="AA922" i="1"/>
  <c r="J922" i="1"/>
  <c r="AK921" i="1"/>
  <c r="AJ921" i="1"/>
  <c r="AI921" i="1"/>
  <c r="AC921" i="1"/>
  <c r="AA921" i="1"/>
  <c r="J921" i="1"/>
  <c r="AK920" i="1"/>
  <c r="AJ920" i="1"/>
  <c r="AI920" i="1"/>
  <c r="AC920" i="1"/>
  <c r="AA920" i="1"/>
  <c r="J920" i="1"/>
  <c r="AK919" i="1"/>
  <c r="AJ919" i="1"/>
  <c r="AI919" i="1"/>
  <c r="AC919" i="1"/>
  <c r="AA919" i="1"/>
  <c r="J919" i="1"/>
  <c r="AK918" i="1"/>
  <c r="AJ918" i="1"/>
  <c r="AI918" i="1"/>
  <c r="AC918" i="1"/>
  <c r="AA918" i="1"/>
  <c r="J918" i="1"/>
  <c r="AK917" i="1"/>
  <c r="AJ917" i="1"/>
  <c r="AI917" i="1"/>
  <c r="AC917" i="1"/>
  <c r="AA917" i="1"/>
  <c r="J917" i="1"/>
  <c r="AK916" i="1"/>
  <c r="AJ916" i="1"/>
  <c r="AI916" i="1"/>
  <c r="AC916" i="1"/>
  <c r="AA916" i="1"/>
  <c r="J916" i="1"/>
  <c r="AK915" i="1"/>
  <c r="AJ915" i="1"/>
  <c r="AI915" i="1"/>
  <c r="AC915" i="1"/>
  <c r="AA915" i="1"/>
  <c r="J915" i="1"/>
  <c r="AK914" i="1"/>
  <c r="AJ914" i="1"/>
  <c r="AI914" i="1"/>
  <c r="AC914" i="1"/>
  <c r="AA914" i="1"/>
  <c r="J914" i="1"/>
  <c r="AK913" i="1"/>
  <c r="AJ913" i="1"/>
  <c r="AI913" i="1"/>
  <c r="AC913" i="1"/>
  <c r="AA913" i="1"/>
  <c r="J913" i="1"/>
  <c r="AK912" i="1"/>
  <c r="AJ912" i="1"/>
  <c r="AI912" i="1"/>
  <c r="AC912" i="1"/>
  <c r="AA912" i="1"/>
  <c r="J912" i="1"/>
  <c r="AK911" i="1"/>
  <c r="AJ911" i="1"/>
  <c r="AI911" i="1"/>
  <c r="AC911" i="1"/>
  <c r="AA911" i="1"/>
  <c r="J911" i="1"/>
  <c r="AK910" i="1"/>
  <c r="AJ910" i="1"/>
  <c r="AI910" i="1"/>
  <c r="AC910" i="1"/>
  <c r="AA910" i="1"/>
  <c r="J910" i="1"/>
  <c r="AK909" i="1"/>
  <c r="AJ909" i="1"/>
  <c r="AI909" i="1"/>
  <c r="AC909" i="1"/>
  <c r="AA909" i="1"/>
  <c r="J909" i="1"/>
  <c r="AK908" i="1"/>
  <c r="AJ908" i="1"/>
  <c r="AI908" i="1"/>
  <c r="AC908" i="1"/>
  <c r="AA908" i="1"/>
  <c r="J908" i="1"/>
  <c r="AK907" i="1"/>
  <c r="AJ907" i="1"/>
  <c r="AI907" i="1"/>
  <c r="AC907" i="1"/>
  <c r="AA907" i="1"/>
  <c r="J907" i="1"/>
  <c r="AK906" i="1"/>
  <c r="AJ906" i="1"/>
  <c r="AI906" i="1"/>
  <c r="AC906" i="1"/>
  <c r="AA906" i="1"/>
  <c r="J906" i="1"/>
  <c r="AK905" i="1"/>
  <c r="AJ905" i="1"/>
  <c r="AI905" i="1"/>
  <c r="AC905" i="1"/>
  <c r="AA905" i="1"/>
  <c r="J905" i="1"/>
  <c r="AK904" i="1"/>
  <c r="AJ904" i="1"/>
  <c r="AI904" i="1"/>
  <c r="AC904" i="1"/>
  <c r="AA904" i="1"/>
  <c r="J904" i="1"/>
  <c r="AK903" i="1"/>
  <c r="AJ903" i="1"/>
  <c r="AI903" i="1"/>
  <c r="AC903" i="1"/>
  <c r="AA903" i="1"/>
  <c r="J903" i="1"/>
  <c r="AK902" i="1"/>
  <c r="AJ902" i="1"/>
  <c r="AI902" i="1"/>
  <c r="AC902" i="1"/>
  <c r="AA902" i="1"/>
  <c r="J902" i="1"/>
  <c r="AK901" i="1"/>
  <c r="AJ901" i="1"/>
  <c r="AI901" i="1"/>
  <c r="AC901" i="1"/>
  <c r="AA901" i="1"/>
  <c r="J901" i="1"/>
  <c r="AK900" i="1"/>
  <c r="AJ900" i="1"/>
  <c r="AI900" i="1"/>
  <c r="AC900" i="1"/>
  <c r="AA900" i="1"/>
  <c r="J900" i="1"/>
  <c r="AK899" i="1"/>
  <c r="AJ899" i="1"/>
  <c r="AI899" i="1"/>
  <c r="AC899" i="1"/>
  <c r="AA899" i="1"/>
  <c r="J899" i="1"/>
  <c r="AK898" i="1"/>
  <c r="AJ898" i="1"/>
  <c r="AI898" i="1"/>
  <c r="AC898" i="1"/>
  <c r="AA898" i="1"/>
  <c r="J898" i="1"/>
  <c r="AK897" i="1"/>
  <c r="AJ897" i="1"/>
  <c r="AI897" i="1"/>
  <c r="AC897" i="1"/>
  <c r="AA897" i="1"/>
  <c r="J897" i="1"/>
  <c r="AK896" i="1"/>
  <c r="AJ896" i="1"/>
  <c r="AI896" i="1"/>
  <c r="AC896" i="1"/>
  <c r="AA896" i="1"/>
  <c r="J896" i="1"/>
  <c r="AK895" i="1"/>
  <c r="AJ895" i="1"/>
  <c r="AI895" i="1"/>
  <c r="AC895" i="1"/>
  <c r="AA895" i="1"/>
  <c r="J895" i="1"/>
  <c r="AK894" i="1"/>
  <c r="AJ894" i="1"/>
  <c r="AI894" i="1"/>
  <c r="AC894" i="1"/>
  <c r="AA894" i="1"/>
  <c r="J894" i="1"/>
  <c r="AK893" i="1"/>
  <c r="AJ893" i="1"/>
  <c r="AI893" i="1"/>
  <c r="AC893" i="1"/>
  <c r="AA893" i="1"/>
  <c r="J893" i="1"/>
  <c r="AK892" i="1"/>
  <c r="AJ892" i="1"/>
  <c r="AI892" i="1"/>
  <c r="AC892" i="1"/>
  <c r="AA892" i="1"/>
  <c r="J892" i="1"/>
  <c r="AK891" i="1"/>
  <c r="AJ891" i="1"/>
  <c r="AI891" i="1"/>
  <c r="AC891" i="1"/>
  <c r="AA891" i="1"/>
  <c r="J891" i="1"/>
  <c r="AK890" i="1"/>
  <c r="AJ890" i="1"/>
  <c r="AI890" i="1"/>
  <c r="AC890" i="1"/>
  <c r="AA890" i="1"/>
  <c r="J890" i="1"/>
  <c r="AK889" i="1"/>
  <c r="AJ889" i="1"/>
  <c r="AI889" i="1"/>
  <c r="AC889" i="1"/>
  <c r="AA889" i="1"/>
  <c r="J889" i="1"/>
  <c r="AK888" i="1"/>
  <c r="AJ888" i="1"/>
  <c r="AI888" i="1"/>
  <c r="AC888" i="1"/>
  <c r="AA888" i="1"/>
  <c r="J888" i="1"/>
  <c r="AK887" i="1"/>
  <c r="AJ887" i="1"/>
  <c r="AI887" i="1"/>
  <c r="AC887" i="1"/>
  <c r="AA887" i="1"/>
  <c r="J887" i="1"/>
  <c r="AK886" i="1"/>
  <c r="AJ886" i="1"/>
  <c r="AI886" i="1"/>
  <c r="AC886" i="1"/>
  <c r="AA886" i="1"/>
  <c r="J886" i="1"/>
  <c r="AK885" i="1"/>
  <c r="AJ885" i="1"/>
  <c r="AI885" i="1"/>
  <c r="AC885" i="1"/>
  <c r="AA885" i="1"/>
  <c r="J885" i="1"/>
  <c r="AK884" i="1"/>
  <c r="AJ884" i="1"/>
  <c r="AI884" i="1"/>
  <c r="AC884" i="1"/>
  <c r="AA884" i="1"/>
  <c r="J884" i="1"/>
  <c r="AK883" i="1"/>
  <c r="AJ883" i="1"/>
  <c r="AI883" i="1"/>
  <c r="AC883" i="1"/>
  <c r="AA883" i="1"/>
  <c r="J883" i="1"/>
  <c r="AK882" i="1"/>
  <c r="AJ882" i="1"/>
  <c r="AI882" i="1"/>
  <c r="AC882" i="1"/>
  <c r="AA882" i="1"/>
  <c r="J882" i="1"/>
  <c r="AK881" i="1"/>
  <c r="AJ881" i="1"/>
  <c r="AI881" i="1"/>
  <c r="AC881" i="1"/>
  <c r="AA881" i="1"/>
  <c r="J881" i="1"/>
  <c r="AK880" i="1"/>
  <c r="AJ880" i="1"/>
  <c r="AI880" i="1"/>
  <c r="AC880" i="1"/>
  <c r="AA880" i="1"/>
  <c r="J880" i="1"/>
  <c r="AK879" i="1"/>
  <c r="AJ879" i="1"/>
  <c r="AI879" i="1"/>
  <c r="AC879" i="1"/>
  <c r="AA879" i="1"/>
  <c r="J879" i="1"/>
  <c r="AK878" i="1"/>
  <c r="AJ878" i="1"/>
  <c r="AI878" i="1"/>
  <c r="AC878" i="1"/>
  <c r="AA878" i="1"/>
  <c r="J878" i="1"/>
  <c r="AK877" i="1"/>
  <c r="AJ877" i="1"/>
  <c r="AI877" i="1"/>
  <c r="AC877" i="1"/>
  <c r="AA877" i="1"/>
  <c r="J877" i="1"/>
  <c r="AK876" i="1"/>
  <c r="AJ876" i="1"/>
  <c r="AI876" i="1"/>
  <c r="AC876" i="1"/>
  <c r="AA876" i="1"/>
  <c r="J876" i="1"/>
  <c r="AK875" i="1"/>
  <c r="AJ875" i="1"/>
  <c r="AI875" i="1"/>
  <c r="AC875" i="1"/>
  <c r="AA875" i="1"/>
  <c r="J875" i="1"/>
  <c r="AK874" i="1"/>
  <c r="AJ874" i="1"/>
  <c r="AI874" i="1"/>
  <c r="AC874" i="1"/>
  <c r="AA874" i="1"/>
  <c r="J874" i="1"/>
  <c r="AK873" i="1"/>
  <c r="AJ873" i="1"/>
  <c r="AI873" i="1"/>
  <c r="AC873" i="1"/>
  <c r="AA873" i="1"/>
  <c r="J873" i="1"/>
  <c r="AK872" i="1"/>
  <c r="AJ872" i="1"/>
  <c r="AI872" i="1"/>
  <c r="AC872" i="1"/>
  <c r="AA872" i="1"/>
  <c r="J872" i="1"/>
  <c r="AK871" i="1"/>
  <c r="AJ871" i="1"/>
  <c r="AI871" i="1"/>
  <c r="AC871" i="1"/>
  <c r="AA871" i="1"/>
  <c r="J871" i="1"/>
  <c r="AK870" i="1"/>
  <c r="AJ870" i="1"/>
  <c r="AI870" i="1"/>
  <c r="AC870" i="1"/>
  <c r="AA870" i="1"/>
  <c r="J870" i="1"/>
  <c r="AK869" i="1"/>
  <c r="AJ869" i="1"/>
  <c r="AI869" i="1"/>
  <c r="AC869" i="1"/>
  <c r="AA869" i="1"/>
  <c r="J869" i="1"/>
  <c r="AK868" i="1"/>
  <c r="AJ868" i="1"/>
  <c r="AI868" i="1"/>
  <c r="AC868" i="1"/>
  <c r="AA868" i="1"/>
  <c r="J868" i="1"/>
  <c r="AK867" i="1"/>
  <c r="AJ867" i="1"/>
  <c r="AI867" i="1"/>
  <c r="AC867" i="1"/>
  <c r="AA867" i="1"/>
  <c r="J867" i="1"/>
  <c r="AK866" i="1"/>
  <c r="AJ866" i="1"/>
  <c r="AI866" i="1"/>
  <c r="AC866" i="1"/>
  <c r="AA866" i="1"/>
  <c r="J866" i="1"/>
  <c r="AK865" i="1"/>
  <c r="AJ865" i="1"/>
  <c r="AI865" i="1"/>
  <c r="AC865" i="1"/>
  <c r="AA865" i="1"/>
  <c r="J865" i="1"/>
  <c r="AK864" i="1"/>
  <c r="AJ864" i="1"/>
  <c r="AI864" i="1"/>
  <c r="AC864" i="1"/>
  <c r="AA864" i="1"/>
  <c r="J864" i="1"/>
  <c r="AK863" i="1"/>
  <c r="AJ863" i="1"/>
  <c r="AI863" i="1"/>
  <c r="AC863" i="1"/>
  <c r="AA863" i="1"/>
  <c r="J863" i="1"/>
  <c r="AK862" i="1"/>
  <c r="AJ862" i="1"/>
  <c r="AI862" i="1"/>
  <c r="AC862" i="1"/>
  <c r="AA862" i="1"/>
  <c r="J862" i="1"/>
  <c r="AK861" i="1"/>
  <c r="AJ861" i="1"/>
  <c r="AI861" i="1"/>
  <c r="AC861" i="1"/>
  <c r="AA861" i="1"/>
  <c r="J861" i="1"/>
  <c r="AK860" i="1"/>
  <c r="AJ860" i="1"/>
  <c r="AI860" i="1"/>
  <c r="AC860" i="1"/>
  <c r="AA860" i="1"/>
  <c r="J860" i="1"/>
  <c r="AK859" i="1"/>
  <c r="AJ859" i="1"/>
  <c r="AI859" i="1"/>
  <c r="AC859" i="1"/>
  <c r="AA859" i="1"/>
  <c r="J859" i="1"/>
  <c r="AK858" i="1"/>
  <c r="AJ858" i="1"/>
  <c r="AI858" i="1"/>
  <c r="AC858" i="1"/>
  <c r="AA858" i="1"/>
  <c r="J858" i="1"/>
  <c r="AK857" i="1"/>
  <c r="AJ857" i="1"/>
  <c r="AI857" i="1"/>
  <c r="AC857" i="1"/>
  <c r="AA857" i="1"/>
  <c r="J857" i="1"/>
  <c r="AK856" i="1"/>
  <c r="AJ856" i="1"/>
  <c r="AI856" i="1"/>
  <c r="AC856" i="1"/>
  <c r="AA856" i="1"/>
  <c r="J856" i="1"/>
  <c r="AK855" i="1"/>
  <c r="AJ855" i="1"/>
  <c r="AI855" i="1"/>
  <c r="AC855" i="1"/>
  <c r="AA855" i="1"/>
  <c r="J855" i="1"/>
  <c r="AK854" i="1"/>
  <c r="AJ854" i="1"/>
  <c r="AI854" i="1"/>
  <c r="AC854" i="1"/>
  <c r="AA854" i="1"/>
  <c r="J854" i="1"/>
  <c r="AK853" i="1"/>
  <c r="AJ853" i="1"/>
  <c r="AI853" i="1"/>
  <c r="AC853" i="1"/>
  <c r="AA853" i="1"/>
  <c r="J853" i="1"/>
  <c r="AK852" i="1"/>
  <c r="AJ852" i="1"/>
  <c r="AI852" i="1"/>
  <c r="AC852" i="1"/>
  <c r="AA852" i="1"/>
  <c r="J852" i="1"/>
  <c r="AK851" i="1"/>
  <c r="AJ851" i="1"/>
  <c r="AI851" i="1"/>
  <c r="AC851" i="1"/>
  <c r="AA851" i="1"/>
  <c r="J851" i="1"/>
  <c r="AK850" i="1"/>
  <c r="AJ850" i="1"/>
  <c r="AI850" i="1"/>
  <c r="AC850" i="1"/>
  <c r="AA850" i="1"/>
  <c r="J850" i="1"/>
  <c r="AK849" i="1"/>
  <c r="AJ849" i="1"/>
  <c r="AI849" i="1"/>
  <c r="AC849" i="1"/>
  <c r="AA849" i="1"/>
  <c r="J849" i="1"/>
  <c r="AK848" i="1"/>
  <c r="AJ848" i="1"/>
  <c r="AI848" i="1"/>
  <c r="AC848" i="1"/>
  <c r="AA848" i="1"/>
  <c r="J848" i="1"/>
  <c r="AK847" i="1"/>
  <c r="AJ847" i="1"/>
  <c r="AI847" i="1"/>
  <c r="AC847" i="1"/>
  <c r="AA847" i="1"/>
  <c r="J847" i="1"/>
  <c r="AK846" i="1"/>
  <c r="AJ846" i="1"/>
  <c r="AI846" i="1"/>
  <c r="AC846" i="1"/>
  <c r="AA846" i="1"/>
  <c r="J846" i="1"/>
  <c r="AK845" i="1"/>
  <c r="AJ845" i="1"/>
  <c r="AI845" i="1"/>
  <c r="AC845" i="1"/>
  <c r="AA845" i="1"/>
  <c r="J845" i="1"/>
  <c r="AK844" i="1"/>
  <c r="AJ844" i="1"/>
  <c r="AI844" i="1"/>
  <c r="AC844" i="1"/>
  <c r="AA844" i="1"/>
  <c r="J844" i="1"/>
  <c r="AK843" i="1"/>
  <c r="AJ843" i="1"/>
  <c r="AI843" i="1"/>
  <c r="AC843" i="1"/>
  <c r="AA843" i="1"/>
  <c r="J843" i="1"/>
  <c r="AK842" i="1"/>
  <c r="AJ842" i="1"/>
  <c r="AI842" i="1"/>
  <c r="AC842" i="1"/>
  <c r="AA842" i="1"/>
  <c r="J842" i="1"/>
  <c r="AK841" i="1"/>
  <c r="AJ841" i="1"/>
  <c r="AI841" i="1"/>
  <c r="AC841" i="1"/>
  <c r="AA841" i="1"/>
  <c r="J841" i="1"/>
  <c r="AK840" i="1"/>
  <c r="AJ840" i="1"/>
  <c r="AI840" i="1"/>
  <c r="AC840" i="1"/>
  <c r="AA840" i="1"/>
  <c r="J840" i="1"/>
  <c r="AK839" i="1"/>
  <c r="AJ839" i="1"/>
  <c r="AI839" i="1"/>
  <c r="AA839" i="1"/>
  <c r="J839" i="1"/>
  <c r="AK838" i="1"/>
  <c r="AJ838" i="1"/>
  <c r="AI838" i="1"/>
  <c r="AC838" i="1"/>
  <c r="AA838" i="1"/>
  <c r="J838" i="1"/>
  <c r="AK837" i="1"/>
  <c r="AJ837" i="1"/>
  <c r="AI837" i="1"/>
  <c r="AC837" i="1"/>
  <c r="AA837" i="1"/>
  <c r="J837" i="1"/>
  <c r="AK836" i="1"/>
  <c r="AJ836" i="1"/>
  <c r="AI836" i="1"/>
  <c r="AC836" i="1"/>
  <c r="AA836" i="1"/>
  <c r="J836" i="1"/>
  <c r="AK835" i="1"/>
  <c r="AJ835" i="1"/>
  <c r="AI835" i="1"/>
  <c r="AC835" i="1"/>
  <c r="AA835" i="1"/>
  <c r="J835" i="1"/>
  <c r="AK834" i="1"/>
  <c r="AJ834" i="1"/>
  <c r="AI834" i="1"/>
  <c r="AC834" i="1"/>
  <c r="AA834" i="1"/>
  <c r="J834" i="1"/>
  <c r="AK833" i="1"/>
  <c r="AJ833" i="1"/>
  <c r="AI833" i="1"/>
  <c r="AC833" i="1"/>
  <c r="AA833" i="1"/>
  <c r="J833" i="1"/>
  <c r="AK832" i="1"/>
  <c r="AJ832" i="1"/>
  <c r="AI832" i="1"/>
  <c r="AC832" i="1"/>
  <c r="AA832" i="1"/>
  <c r="J832" i="1"/>
  <c r="AK831" i="1"/>
  <c r="AJ831" i="1"/>
  <c r="AI831" i="1"/>
  <c r="AC831" i="1"/>
  <c r="AA831" i="1"/>
  <c r="J831" i="1"/>
  <c r="AK830" i="1"/>
  <c r="AJ830" i="1"/>
  <c r="AI830" i="1"/>
  <c r="AC830" i="1"/>
  <c r="AA830" i="1"/>
  <c r="J830" i="1"/>
  <c r="AK829" i="1"/>
  <c r="AJ829" i="1"/>
  <c r="AI829" i="1"/>
  <c r="AC829" i="1"/>
  <c r="AA829" i="1"/>
  <c r="J829" i="1"/>
  <c r="AK828" i="1"/>
  <c r="AJ828" i="1"/>
  <c r="AI828" i="1"/>
  <c r="AC828" i="1"/>
  <c r="AA828" i="1"/>
  <c r="J828" i="1"/>
  <c r="AK827" i="1"/>
  <c r="AJ827" i="1"/>
  <c r="AI827" i="1"/>
  <c r="AC827" i="1"/>
  <c r="AA827" i="1"/>
  <c r="J827" i="1"/>
  <c r="AK826" i="1"/>
  <c r="AJ826" i="1"/>
  <c r="AI826" i="1"/>
  <c r="AC826" i="1"/>
  <c r="AA826" i="1"/>
  <c r="J826" i="1"/>
  <c r="AK825" i="1"/>
  <c r="AJ825" i="1"/>
  <c r="AI825" i="1"/>
  <c r="AC825" i="1"/>
  <c r="AA825" i="1"/>
  <c r="J825" i="1"/>
  <c r="AK824" i="1"/>
  <c r="AJ824" i="1"/>
  <c r="AI824" i="1"/>
  <c r="AC824" i="1"/>
  <c r="AA824" i="1"/>
  <c r="J824" i="1"/>
  <c r="AK823" i="1"/>
  <c r="AJ823" i="1"/>
  <c r="AI823" i="1"/>
  <c r="AC823" i="1"/>
  <c r="AA823" i="1"/>
  <c r="J823" i="1"/>
  <c r="AK822" i="1"/>
  <c r="AJ822" i="1"/>
  <c r="AI822" i="1"/>
  <c r="AC822" i="1"/>
  <c r="AA822" i="1"/>
  <c r="J822" i="1"/>
  <c r="AK821" i="1"/>
  <c r="AJ821" i="1"/>
  <c r="AI821" i="1"/>
  <c r="AC821" i="1"/>
  <c r="AA821" i="1"/>
  <c r="J821" i="1"/>
  <c r="AK820" i="1"/>
  <c r="AJ820" i="1"/>
  <c r="AI820" i="1"/>
  <c r="AC820" i="1"/>
  <c r="AA820" i="1"/>
  <c r="J820" i="1"/>
  <c r="AK819" i="1"/>
  <c r="AJ819" i="1"/>
  <c r="AI819" i="1"/>
  <c r="AC819" i="1"/>
  <c r="AA819" i="1"/>
  <c r="J819" i="1"/>
  <c r="AK818" i="1"/>
  <c r="AJ818" i="1"/>
  <c r="AI818" i="1"/>
  <c r="AC818" i="1"/>
  <c r="AA818" i="1"/>
  <c r="J818" i="1"/>
  <c r="AK817" i="1"/>
  <c r="AJ817" i="1"/>
  <c r="AI817" i="1"/>
  <c r="AC817" i="1"/>
  <c r="AA817" i="1"/>
  <c r="J817" i="1"/>
  <c r="AK816" i="1"/>
  <c r="AJ816" i="1"/>
  <c r="AI816" i="1"/>
  <c r="AC816" i="1"/>
  <c r="AA816" i="1"/>
  <c r="J816" i="1"/>
  <c r="AK815" i="1"/>
  <c r="AJ815" i="1"/>
  <c r="AI815" i="1"/>
  <c r="AC815" i="1"/>
  <c r="AA815" i="1"/>
  <c r="J815" i="1"/>
  <c r="AK814" i="1"/>
  <c r="AJ814" i="1"/>
  <c r="AI814" i="1"/>
  <c r="AC814" i="1"/>
  <c r="AA814" i="1"/>
  <c r="J814" i="1"/>
  <c r="AK813" i="1"/>
  <c r="AJ813" i="1"/>
  <c r="AI813" i="1"/>
  <c r="AC813" i="1"/>
  <c r="AA813" i="1"/>
  <c r="J813" i="1"/>
  <c r="AK812" i="1"/>
  <c r="AJ812" i="1"/>
  <c r="AI812" i="1"/>
  <c r="AC812" i="1"/>
  <c r="AA812" i="1"/>
  <c r="J812" i="1"/>
  <c r="AK811" i="1"/>
  <c r="AJ811" i="1"/>
  <c r="AI811" i="1"/>
  <c r="AC811" i="1"/>
  <c r="AA811" i="1"/>
  <c r="J811" i="1"/>
  <c r="AK810" i="1"/>
  <c r="AJ810" i="1"/>
  <c r="AI810" i="1"/>
  <c r="AC810" i="1"/>
  <c r="AA810" i="1"/>
  <c r="J810" i="1"/>
  <c r="AK809" i="1"/>
  <c r="AJ809" i="1"/>
  <c r="AI809" i="1"/>
  <c r="AC809" i="1"/>
  <c r="AA809" i="1"/>
  <c r="J809" i="1"/>
  <c r="AK808" i="1"/>
  <c r="AJ808" i="1"/>
  <c r="AI808" i="1"/>
  <c r="AC808" i="1"/>
  <c r="AA808" i="1"/>
  <c r="J808" i="1"/>
  <c r="AK807" i="1"/>
  <c r="AJ807" i="1"/>
  <c r="AI807" i="1"/>
  <c r="AC807" i="1"/>
  <c r="AA807" i="1"/>
  <c r="J807" i="1"/>
  <c r="AK806" i="1"/>
  <c r="AJ806" i="1"/>
  <c r="AI806" i="1"/>
  <c r="AC806" i="1"/>
  <c r="AA806" i="1"/>
  <c r="J806" i="1"/>
  <c r="AK805" i="1"/>
  <c r="AJ805" i="1"/>
  <c r="AI805" i="1"/>
  <c r="AC805" i="1"/>
  <c r="AA805" i="1"/>
  <c r="J805" i="1"/>
  <c r="AK804" i="1"/>
  <c r="AJ804" i="1"/>
  <c r="AI804" i="1"/>
  <c r="AC804" i="1"/>
  <c r="AA804" i="1"/>
  <c r="J804" i="1"/>
  <c r="AK803" i="1"/>
  <c r="AJ803" i="1"/>
  <c r="AI803" i="1"/>
  <c r="AC803" i="1"/>
  <c r="AA803" i="1"/>
  <c r="J803" i="1"/>
  <c r="AK802" i="1"/>
  <c r="AJ802" i="1"/>
  <c r="AI802" i="1"/>
  <c r="AC802" i="1"/>
  <c r="AA802" i="1"/>
  <c r="J802" i="1"/>
  <c r="AK801" i="1"/>
  <c r="AJ801" i="1"/>
  <c r="AI801" i="1"/>
  <c r="AC801" i="1"/>
  <c r="AA801" i="1"/>
  <c r="J801" i="1"/>
  <c r="AK800" i="1"/>
  <c r="AJ800" i="1"/>
  <c r="AI800" i="1"/>
  <c r="AC800" i="1"/>
  <c r="AA800" i="1"/>
  <c r="J800" i="1"/>
  <c r="AK799" i="1"/>
  <c r="AJ799" i="1"/>
  <c r="AI799" i="1"/>
  <c r="AC799" i="1"/>
  <c r="AA799" i="1"/>
  <c r="J799" i="1"/>
  <c r="AK798" i="1"/>
  <c r="AJ798" i="1"/>
  <c r="AI798" i="1"/>
  <c r="AC798" i="1"/>
  <c r="AA798" i="1"/>
  <c r="J798" i="1"/>
  <c r="AK797" i="1"/>
  <c r="AJ797" i="1"/>
  <c r="AI797" i="1"/>
  <c r="AC797" i="1"/>
  <c r="AA797" i="1"/>
  <c r="J797" i="1"/>
  <c r="AK796" i="1"/>
  <c r="AJ796" i="1"/>
  <c r="AI796" i="1"/>
  <c r="AC796" i="1"/>
  <c r="AA796" i="1"/>
  <c r="J796" i="1"/>
  <c r="AK795" i="1"/>
  <c r="AJ795" i="1"/>
  <c r="AI795" i="1"/>
  <c r="AC795" i="1"/>
  <c r="AA795" i="1"/>
  <c r="J795" i="1"/>
  <c r="AK794" i="1"/>
  <c r="AJ794" i="1"/>
  <c r="AI794" i="1"/>
  <c r="AC794" i="1"/>
  <c r="AA794" i="1"/>
  <c r="J794" i="1"/>
  <c r="AK793" i="1"/>
  <c r="AJ793" i="1"/>
  <c r="AI793" i="1"/>
  <c r="AC793" i="1"/>
  <c r="AA793" i="1"/>
  <c r="J793" i="1"/>
  <c r="AK792" i="1"/>
  <c r="AJ792" i="1"/>
  <c r="AI792" i="1"/>
  <c r="AC792" i="1"/>
  <c r="AA792" i="1"/>
  <c r="J792" i="1"/>
  <c r="AK791" i="1"/>
  <c r="AJ791" i="1"/>
  <c r="AI791" i="1"/>
  <c r="AC791" i="1"/>
  <c r="AA791" i="1"/>
  <c r="J791" i="1"/>
  <c r="AK790" i="1"/>
  <c r="AJ790" i="1"/>
  <c r="AI790" i="1"/>
  <c r="AC790" i="1"/>
  <c r="AA790" i="1"/>
  <c r="J790" i="1"/>
  <c r="AK789" i="1"/>
  <c r="AJ789" i="1"/>
  <c r="AI789" i="1"/>
  <c r="AC789" i="1"/>
  <c r="AA789" i="1"/>
  <c r="J789" i="1"/>
  <c r="AK788" i="1"/>
  <c r="AJ788" i="1"/>
  <c r="AI788" i="1"/>
  <c r="AC788" i="1"/>
  <c r="AA788" i="1"/>
  <c r="J788" i="1"/>
  <c r="AK787" i="1"/>
  <c r="AJ787" i="1"/>
  <c r="AI787" i="1"/>
  <c r="AC787" i="1"/>
  <c r="AA787" i="1"/>
  <c r="J787" i="1"/>
  <c r="AK786" i="1"/>
  <c r="AJ786" i="1"/>
  <c r="AI786" i="1"/>
  <c r="AC786" i="1"/>
  <c r="AA786" i="1"/>
  <c r="J786" i="1"/>
  <c r="AK785" i="1"/>
  <c r="AJ785" i="1"/>
  <c r="AI785" i="1"/>
  <c r="AC785" i="1"/>
  <c r="AA785" i="1"/>
  <c r="J785" i="1"/>
  <c r="AK784" i="1"/>
  <c r="AJ784" i="1"/>
  <c r="AI784" i="1"/>
  <c r="AC784" i="1"/>
  <c r="AA784" i="1"/>
  <c r="J784" i="1"/>
  <c r="AK783" i="1"/>
  <c r="AJ783" i="1"/>
  <c r="AI783" i="1"/>
  <c r="AC783" i="1"/>
  <c r="AA783" i="1"/>
  <c r="J783" i="1"/>
  <c r="AK782" i="1"/>
  <c r="AJ782" i="1"/>
  <c r="AI782" i="1"/>
  <c r="AC782" i="1"/>
  <c r="AA782" i="1"/>
  <c r="J782" i="1"/>
  <c r="AK781" i="1"/>
  <c r="AJ781" i="1"/>
  <c r="AI781" i="1"/>
  <c r="AC781" i="1"/>
  <c r="AA781" i="1"/>
  <c r="J781" i="1"/>
  <c r="AK780" i="1"/>
  <c r="AJ780" i="1"/>
  <c r="AI780" i="1"/>
  <c r="AC780" i="1"/>
  <c r="AA780" i="1"/>
  <c r="J780" i="1"/>
  <c r="AK779" i="1"/>
  <c r="AJ779" i="1"/>
  <c r="AI779" i="1"/>
  <c r="AC779" i="1"/>
  <c r="AA779" i="1"/>
  <c r="J779" i="1"/>
  <c r="AK778" i="1"/>
  <c r="AJ778" i="1"/>
  <c r="AI778" i="1"/>
  <c r="AC778" i="1"/>
  <c r="AA778" i="1"/>
  <c r="J778" i="1"/>
  <c r="AK777" i="1"/>
  <c r="AJ777" i="1"/>
  <c r="AI777" i="1"/>
  <c r="AC777" i="1"/>
  <c r="AA777" i="1"/>
  <c r="J777" i="1"/>
  <c r="AK776" i="1"/>
  <c r="AJ776" i="1"/>
  <c r="AI776" i="1"/>
  <c r="AC776" i="1"/>
  <c r="AA776" i="1"/>
  <c r="J776" i="1"/>
  <c r="AK775" i="1"/>
  <c r="AJ775" i="1"/>
  <c r="AI775" i="1"/>
  <c r="AC775" i="1"/>
  <c r="AA775" i="1"/>
  <c r="J775" i="1"/>
  <c r="AK774" i="1"/>
  <c r="AJ774" i="1"/>
  <c r="AI774" i="1"/>
  <c r="AC774" i="1"/>
  <c r="AA774" i="1"/>
  <c r="J774" i="1"/>
  <c r="AK773" i="1"/>
  <c r="AJ773" i="1"/>
  <c r="AI773" i="1"/>
  <c r="AC773" i="1"/>
  <c r="AA773" i="1"/>
  <c r="J773" i="1"/>
  <c r="AK772" i="1"/>
  <c r="AJ772" i="1"/>
  <c r="AI772" i="1"/>
  <c r="AC772" i="1"/>
  <c r="AA772" i="1"/>
  <c r="J772" i="1"/>
  <c r="AK771" i="1"/>
  <c r="AJ771" i="1"/>
  <c r="AI771" i="1"/>
  <c r="AC771" i="1"/>
  <c r="AA771" i="1"/>
  <c r="J771" i="1"/>
  <c r="AK770" i="1"/>
  <c r="AJ770" i="1"/>
  <c r="AI770" i="1"/>
  <c r="AC770" i="1"/>
  <c r="AA770" i="1"/>
  <c r="J770" i="1"/>
  <c r="AK769" i="1"/>
  <c r="AJ769" i="1"/>
  <c r="AI769" i="1"/>
  <c r="AC769" i="1"/>
  <c r="AA769" i="1"/>
  <c r="J769" i="1"/>
  <c r="AK768" i="1"/>
  <c r="AJ768" i="1"/>
  <c r="AI768" i="1"/>
  <c r="AC768" i="1"/>
  <c r="AA768" i="1"/>
  <c r="J768" i="1"/>
  <c r="AK767" i="1"/>
  <c r="AJ767" i="1"/>
  <c r="AI767" i="1"/>
  <c r="AC767" i="1"/>
  <c r="AA767" i="1"/>
  <c r="J767" i="1"/>
  <c r="AK766" i="1"/>
  <c r="AJ766" i="1"/>
  <c r="AI766" i="1"/>
  <c r="AC766" i="1"/>
  <c r="AA766" i="1"/>
  <c r="J766" i="1"/>
  <c r="AK765" i="1"/>
  <c r="AJ765" i="1"/>
  <c r="AI765" i="1"/>
  <c r="AC765" i="1"/>
  <c r="AA765" i="1"/>
  <c r="J765" i="1"/>
  <c r="AK764" i="1"/>
  <c r="AJ764" i="1"/>
  <c r="AI764" i="1"/>
  <c r="AC764" i="1"/>
  <c r="AA764" i="1"/>
  <c r="J764" i="1"/>
  <c r="AK763" i="1"/>
  <c r="AJ763" i="1"/>
  <c r="AI763" i="1"/>
  <c r="AC763" i="1"/>
  <c r="AA763" i="1"/>
  <c r="J763" i="1"/>
  <c r="AK762" i="1"/>
  <c r="AJ762" i="1"/>
  <c r="AI762" i="1"/>
  <c r="AC762" i="1"/>
  <c r="AA762" i="1"/>
  <c r="J762" i="1"/>
  <c r="AK761" i="1"/>
  <c r="AJ761" i="1"/>
  <c r="AI761" i="1"/>
  <c r="AC761" i="1"/>
  <c r="AA761" i="1"/>
  <c r="J761" i="1"/>
  <c r="AK760" i="1"/>
  <c r="AJ760" i="1"/>
  <c r="AI760" i="1"/>
  <c r="AC760" i="1"/>
  <c r="AA760" i="1"/>
  <c r="J760" i="1"/>
  <c r="AK759" i="1"/>
  <c r="AJ759" i="1"/>
  <c r="AI759" i="1"/>
  <c r="AC759" i="1"/>
  <c r="AA759" i="1"/>
  <c r="J759" i="1"/>
  <c r="AK758" i="1"/>
  <c r="AJ758" i="1"/>
  <c r="AI758" i="1"/>
  <c r="AA758" i="1"/>
  <c r="J758" i="1"/>
  <c r="AK757" i="1"/>
  <c r="AJ757" i="1"/>
  <c r="AI757" i="1"/>
  <c r="AC757" i="1"/>
  <c r="AA757" i="1"/>
  <c r="J757" i="1"/>
  <c r="AK756" i="1"/>
  <c r="AJ756" i="1"/>
  <c r="AI756" i="1"/>
  <c r="AC756" i="1"/>
  <c r="AA756" i="1"/>
  <c r="J756" i="1"/>
  <c r="AK755" i="1"/>
  <c r="AJ755" i="1"/>
  <c r="AI755" i="1"/>
  <c r="AC755" i="1"/>
  <c r="AA755" i="1"/>
  <c r="J755" i="1"/>
  <c r="AK754" i="1"/>
  <c r="AJ754" i="1"/>
  <c r="AI754" i="1"/>
  <c r="AC754" i="1"/>
  <c r="AA754" i="1"/>
  <c r="J754" i="1"/>
  <c r="AK753" i="1"/>
  <c r="AJ753" i="1"/>
  <c r="AI753" i="1"/>
  <c r="AC753" i="1"/>
  <c r="AA753" i="1"/>
  <c r="J753" i="1"/>
  <c r="AK752" i="1"/>
  <c r="AJ752" i="1"/>
  <c r="AI752" i="1"/>
  <c r="AC752" i="1"/>
  <c r="AA752" i="1"/>
  <c r="J752" i="1"/>
  <c r="AK751" i="1"/>
  <c r="AJ751" i="1"/>
  <c r="AI751" i="1"/>
  <c r="AC751" i="1"/>
  <c r="AA751" i="1"/>
  <c r="J751" i="1"/>
  <c r="AK750" i="1"/>
  <c r="AJ750" i="1"/>
  <c r="AI750" i="1"/>
  <c r="AC750" i="1"/>
  <c r="AA750" i="1"/>
  <c r="J750" i="1"/>
  <c r="AK749" i="1"/>
  <c r="AJ749" i="1"/>
  <c r="AI749" i="1"/>
  <c r="AC749" i="1"/>
  <c r="AA749" i="1"/>
  <c r="J749" i="1"/>
  <c r="AK748" i="1"/>
  <c r="AJ748" i="1"/>
  <c r="AI748" i="1"/>
  <c r="AC748" i="1"/>
  <c r="AA748" i="1"/>
  <c r="J748" i="1"/>
  <c r="AK747" i="1"/>
  <c r="AJ747" i="1"/>
  <c r="AI747" i="1"/>
  <c r="AC747" i="1"/>
  <c r="AA747" i="1"/>
  <c r="J747" i="1"/>
  <c r="AK746" i="1"/>
  <c r="AJ746" i="1"/>
  <c r="AI746" i="1"/>
  <c r="AC746" i="1"/>
  <c r="AA746" i="1"/>
  <c r="J746" i="1"/>
  <c r="AK745" i="1"/>
  <c r="AJ745" i="1"/>
  <c r="AI745" i="1"/>
  <c r="AC745" i="1"/>
  <c r="AA745" i="1"/>
  <c r="J745" i="1"/>
  <c r="AK744" i="1"/>
  <c r="AJ744" i="1"/>
  <c r="AI744" i="1"/>
  <c r="AC744" i="1"/>
  <c r="AA744" i="1"/>
  <c r="J744" i="1"/>
  <c r="AK743" i="1"/>
  <c r="AJ743" i="1"/>
  <c r="AI743" i="1"/>
  <c r="AC743" i="1"/>
  <c r="AA743" i="1"/>
  <c r="J743" i="1"/>
  <c r="AK742" i="1"/>
  <c r="AJ742" i="1"/>
  <c r="AI742" i="1"/>
  <c r="AC742" i="1"/>
  <c r="AA742" i="1"/>
  <c r="J742" i="1"/>
  <c r="AK741" i="1"/>
  <c r="AJ741" i="1"/>
  <c r="AI741" i="1"/>
  <c r="AC741" i="1"/>
  <c r="AA741" i="1"/>
  <c r="J741" i="1"/>
  <c r="AK740" i="1"/>
  <c r="AJ740" i="1"/>
  <c r="AI740" i="1"/>
  <c r="AC740" i="1"/>
  <c r="AA740" i="1"/>
  <c r="J740" i="1"/>
  <c r="AK739" i="1"/>
  <c r="AJ739" i="1"/>
  <c r="AI739" i="1"/>
  <c r="AC739" i="1"/>
  <c r="AA739" i="1"/>
  <c r="J739" i="1"/>
  <c r="AK738" i="1"/>
  <c r="AJ738" i="1"/>
  <c r="AI738" i="1"/>
  <c r="AC738" i="1"/>
  <c r="AA738" i="1"/>
  <c r="J738" i="1"/>
  <c r="AK737" i="1"/>
  <c r="AJ737" i="1"/>
  <c r="AI737" i="1"/>
  <c r="AC737" i="1"/>
  <c r="AA737" i="1"/>
  <c r="J737" i="1"/>
  <c r="AK736" i="1"/>
  <c r="AJ736" i="1"/>
  <c r="AI736" i="1"/>
  <c r="AC736" i="1"/>
  <c r="AA736" i="1"/>
  <c r="J736" i="1"/>
  <c r="AK735" i="1"/>
  <c r="AJ735" i="1"/>
  <c r="AI735" i="1"/>
  <c r="AC735" i="1"/>
  <c r="AA735" i="1"/>
  <c r="J735" i="1"/>
  <c r="AK734" i="1"/>
  <c r="AJ734" i="1"/>
  <c r="AI734" i="1"/>
  <c r="AC734" i="1"/>
  <c r="AA734" i="1"/>
  <c r="J734" i="1"/>
  <c r="AK733" i="1"/>
  <c r="AJ733" i="1"/>
  <c r="AI733" i="1"/>
  <c r="AC733" i="1"/>
  <c r="AA733" i="1"/>
  <c r="J733" i="1"/>
  <c r="AK732" i="1"/>
  <c r="AJ732" i="1"/>
  <c r="AI732" i="1"/>
  <c r="AC732" i="1"/>
  <c r="AA732" i="1"/>
  <c r="J732" i="1"/>
  <c r="AK731" i="1"/>
  <c r="AJ731" i="1"/>
  <c r="AI731" i="1"/>
  <c r="AC731" i="1"/>
  <c r="AA731" i="1"/>
  <c r="J731" i="1"/>
  <c r="AK730" i="1"/>
  <c r="AJ730" i="1"/>
  <c r="AI730" i="1"/>
  <c r="AC730" i="1"/>
  <c r="AA730" i="1"/>
  <c r="J730" i="1"/>
  <c r="AK729" i="1"/>
  <c r="AJ729" i="1"/>
  <c r="AI729" i="1"/>
  <c r="AC729" i="1"/>
  <c r="AA729" i="1"/>
  <c r="J729" i="1"/>
  <c r="AK728" i="1"/>
  <c r="AJ728" i="1"/>
  <c r="AI728" i="1"/>
  <c r="AC728" i="1"/>
  <c r="AA728" i="1"/>
  <c r="J728" i="1"/>
  <c r="AK727" i="1"/>
  <c r="AJ727" i="1"/>
  <c r="AI727" i="1"/>
  <c r="AC727" i="1"/>
  <c r="AA727" i="1"/>
  <c r="J727" i="1"/>
  <c r="AK726" i="1"/>
  <c r="AJ726" i="1"/>
  <c r="AI726" i="1"/>
  <c r="AC726" i="1"/>
  <c r="AA726" i="1"/>
  <c r="J726" i="1"/>
  <c r="AK725" i="1"/>
  <c r="AJ725" i="1"/>
  <c r="AI725" i="1"/>
  <c r="AC725" i="1"/>
  <c r="AA725" i="1"/>
  <c r="J725" i="1"/>
  <c r="AK724" i="1"/>
  <c r="AJ724" i="1"/>
  <c r="AI724" i="1"/>
  <c r="AC724" i="1"/>
  <c r="AA724" i="1"/>
  <c r="J724" i="1"/>
  <c r="AK723" i="1"/>
  <c r="AJ723" i="1"/>
  <c r="AI723" i="1"/>
  <c r="AC723" i="1"/>
  <c r="AA723" i="1"/>
  <c r="J723" i="1"/>
  <c r="AK722" i="1"/>
  <c r="AJ722" i="1"/>
  <c r="AI722" i="1"/>
  <c r="AC722" i="1"/>
  <c r="AA722" i="1"/>
  <c r="J722" i="1"/>
  <c r="AK721" i="1"/>
  <c r="AJ721" i="1"/>
  <c r="AI721" i="1"/>
  <c r="AC721" i="1"/>
  <c r="AA721" i="1"/>
  <c r="J721" i="1"/>
  <c r="AK720" i="1"/>
  <c r="AJ720" i="1"/>
  <c r="AI720" i="1"/>
  <c r="AC720" i="1"/>
  <c r="AA720" i="1"/>
  <c r="J720" i="1"/>
  <c r="AK719" i="1"/>
  <c r="AJ719" i="1"/>
  <c r="AI719" i="1"/>
  <c r="AC719" i="1"/>
  <c r="AA719" i="1"/>
  <c r="J719" i="1"/>
  <c r="AK718" i="1"/>
  <c r="AJ718" i="1"/>
  <c r="AI718" i="1"/>
  <c r="AC718" i="1"/>
  <c r="AA718" i="1"/>
  <c r="J718" i="1"/>
  <c r="AK717" i="1"/>
  <c r="AJ717" i="1"/>
  <c r="AI717" i="1"/>
  <c r="AC717" i="1"/>
  <c r="AA717" i="1"/>
  <c r="J717" i="1"/>
  <c r="AK716" i="1"/>
  <c r="AJ716" i="1"/>
  <c r="AI716" i="1"/>
  <c r="AC716" i="1"/>
  <c r="AA716" i="1"/>
  <c r="J716" i="1"/>
  <c r="AK715" i="1"/>
  <c r="AJ715" i="1"/>
  <c r="AI715" i="1"/>
  <c r="AC715" i="1"/>
  <c r="AA715" i="1"/>
  <c r="J715" i="1"/>
  <c r="AK714" i="1"/>
  <c r="AJ714" i="1"/>
  <c r="AI714" i="1"/>
  <c r="AC714" i="1"/>
  <c r="AA714" i="1"/>
  <c r="J714" i="1"/>
  <c r="AK713" i="1"/>
  <c r="AJ713" i="1"/>
  <c r="AI713" i="1"/>
  <c r="AC713" i="1"/>
  <c r="AA713" i="1"/>
  <c r="J713" i="1"/>
  <c r="AK712" i="1"/>
  <c r="AJ712" i="1"/>
  <c r="AI712" i="1"/>
  <c r="AC712" i="1"/>
  <c r="AA712" i="1"/>
  <c r="J712" i="1"/>
  <c r="AK711" i="1"/>
  <c r="AJ711" i="1"/>
  <c r="AI711" i="1"/>
  <c r="AC711" i="1"/>
  <c r="AA711" i="1"/>
  <c r="J711" i="1"/>
  <c r="AK710" i="1"/>
  <c r="AJ710" i="1"/>
  <c r="AI710" i="1"/>
  <c r="AC710" i="1"/>
  <c r="AA710" i="1"/>
  <c r="J710" i="1"/>
  <c r="AK709" i="1"/>
  <c r="AJ709" i="1"/>
  <c r="AI709" i="1"/>
  <c r="AC709" i="1"/>
  <c r="AA709" i="1"/>
  <c r="J709" i="1"/>
  <c r="AK708" i="1"/>
  <c r="AJ708" i="1"/>
  <c r="AI708" i="1"/>
  <c r="AC708" i="1"/>
  <c r="AA708" i="1"/>
  <c r="J708" i="1"/>
  <c r="AK707" i="1"/>
  <c r="AJ707" i="1"/>
  <c r="AI707" i="1"/>
  <c r="AC707" i="1"/>
  <c r="AA707" i="1"/>
  <c r="J707" i="1"/>
  <c r="AK706" i="1"/>
  <c r="AJ706" i="1"/>
  <c r="AI706" i="1"/>
  <c r="AC706" i="1"/>
  <c r="AA706" i="1"/>
  <c r="J706" i="1"/>
  <c r="AK705" i="1"/>
  <c r="AJ705" i="1"/>
  <c r="AI705" i="1"/>
  <c r="AC705" i="1"/>
  <c r="AA705" i="1"/>
  <c r="J705" i="1"/>
  <c r="AK704" i="1"/>
  <c r="AJ704" i="1"/>
  <c r="AI704" i="1"/>
  <c r="AC704" i="1"/>
  <c r="AA704" i="1"/>
  <c r="J704" i="1"/>
  <c r="AK703" i="1"/>
  <c r="AJ703" i="1"/>
  <c r="AI703" i="1"/>
  <c r="AC703" i="1"/>
  <c r="AA703" i="1"/>
  <c r="J703" i="1"/>
  <c r="AK702" i="1"/>
  <c r="AJ702" i="1"/>
  <c r="AI702" i="1"/>
  <c r="AC702" i="1"/>
  <c r="AA702" i="1"/>
  <c r="J702" i="1"/>
  <c r="AK701" i="1"/>
  <c r="AJ701" i="1"/>
  <c r="AI701" i="1"/>
  <c r="AC701" i="1"/>
  <c r="AA701" i="1"/>
  <c r="J701" i="1"/>
  <c r="AK700" i="1"/>
  <c r="AJ700" i="1"/>
  <c r="AI700" i="1"/>
  <c r="AC700" i="1"/>
  <c r="AA700" i="1"/>
  <c r="J700" i="1"/>
  <c r="AK699" i="1"/>
  <c r="AJ699" i="1"/>
  <c r="AI699" i="1"/>
  <c r="AC699" i="1"/>
  <c r="AA699" i="1"/>
  <c r="J699" i="1"/>
  <c r="AK698" i="1"/>
  <c r="AJ698" i="1"/>
  <c r="AI698" i="1"/>
  <c r="AC698" i="1"/>
  <c r="AA698" i="1"/>
  <c r="J698" i="1"/>
  <c r="AK697" i="1"/>
  <c r="AJ697" i="1"/>
  <c r="AI697" i="1"/>
  <c r="AC697" i="1"/>
  <c r="AA697" i="1"/>
  <c r="J697" i="1"/>
  <c r="AK696" i="1"/>
  <c r="AJ696" i="1"/>
  <c r="AI696" i="1"/>
  <c r="AC696" i="1"/>
  <c r="AA696" i="1"/>
  <c r="J696" i="1"/>
  <c r="AK695" i="1"/>
  <c r="AJ695" i="1"/>
  <c r="AI695" i="1"/>
  <c r="AC695" i="1"/>
  <c r="AA695" i="1"/>
  <c r="J695" i="1"/>
  <c r="AK694" i="1"/>
  <c r="AJ694" i="1"/>
  <c r="AI694" i="1"/>
  <c r="AC694" i="1"/>
  <c r="AA694" i="1"/>
  <c r="J694" i="1"/>
  <c r="AK693" i="1"/>
  <c r="AJ693" i="1"/>
  <c r="AI693" i="1"/>
  <c r="AC693" i="1"/>
  <c r="AA693" i="1"/>
  <c r="J693" i="1"/>
  <c r="AK692" i="1"/>
  <c r="AJ692" i="1"/>
  <c r="AI692" i="1"/>
  <c r="AC692" i="1"/>
  <c r="AA692" i="1"/>
  <c r="J692" i="1"/>
  <c r="AK691" i="1"/>
  <c r="AJ691" i="1"/>
  <c r="AI691" i="1"/>
  <c r="AC691" i="1"/>
  <c r="AA691" i="1"/>
  <c r="J691" i="1"/>
  <c r="AK690" i="1"/>
  <c r="AJ690" i="1"/>
  <c r="AI690" i="1"/>
  <c r="AC690" i="1"/>
  <c r="AA690" i="1"/>
  <c r="J690" i="1"/>
  <c r="AK689" i="1"/>
  <c r="AJ689" i="1"/>
  <c r="AI689" i="1"/>
  <c r="AC689" i="1"/>
  <c r="AA689" i="1"/>
  <c r="J689" i="1"/>
  <c r="AK688" i="1"/>
  <c r="AJ688" i="1"/>
  <c r="AI688" i="1"/>
  <c r="AC688" i="1"/>
  <c r="AA688" i="1"/>
  <c r="J688" i="1"/>
  <c r="AK687" i="1"/>
  <c r="AJ687" i="1"/>
  <c r="AI687" i="1"/>
  <c r="AC687" i="1"/>
  <c r="AA687" i="1"/>
  <c r="J687" i="1"/>
  <c r="AK686" i="1"/>
  <c r="AJ686" i="1"/>
  <c r="AI686" i="1"/>
  <c r="AC686" i="1"/>
  <c r="AA686" i="1"/>
  <c r="J686" i="1"/>
  <c r="AK685" i="1"/>
  <c r="AJ685" i="1"/>
  <c r="AI685" i="1"/>
  <c r="AC685" i="1"/>
  <c r="AA685" i="1"/>
  <c r="J685" i="1"/>
  <c r="AK684" i="1"/>
  <c r="AJ684" i="1"/>
  <c r="AI684" i="1"/>
  <c r="AC684" i="1"/>
  <c r="AA684" i="1"/>
  <c r="J684" i="1"/>
  <c r="AK683" i="1"/>
  <c r="AJ683" i="1"/>
  <c r="AI683" i="1"/>
  <c r="AC683" i="1"/>
  <c r="AA683" i="1"/>
  <c r="J683" i="1"/>
  <c r="AK682" i="1"/>
  <c r="AJ682" i="1"/>
  <c r="AI682" i="1"/>
  <c r="AC682" i="1"/>
  <c r="AA682" i="1"/>
  <c r="J682" i="1"/>
  <c r="AK681" i="1"/>
  <c r="AJ681" i="1"/>
  <c r="AI681" i="1"/>
  <c r="AC681" i="1"/>
  <c r="AA681" i="1"/>
  <c r="J681" i="1"/>
  <c r="AK680" i="1"/>
  <c r="AJ680" i="1"/>
  <c r="AI680" i="1"/>
  <c r="AC680" i="1"/>
  <c r="AA680" i="1"/>
  <c r="J680" i="1"/>
  <c r="AK679" i="1"/>
  <c r="AJ679" i="1"/>
  <c r="AI679" i="1"/>
  <c r="AC679" i="1"/>
  <c r="AA679" i="1"/>
  <c r="J679" i="1"/>
  <c r="AK678" i="1"/>
  <c r="AJ678" i="1"/>
  <c r="AI678" i="1"/>
  <c r="AC678" i="1"/>
  <c r="AA678" i="1"/>
  <c r="J678" i="1"/>
  <c r="AK677" i="1"/>
  <c r="AJ677" i="1"/>
  <c r="AI677" i="1"/>
  <c r="AC677" i="1"/>
  <c r="AA677" i="1"/>
  <c r="J677" i="1"/>
  <c r="AK676" i="1"/>
  <c r="AJ676" i="1"/>
  <c r="AI676" i="1"/>
  <c r="AC676" i="1"/>
  <c r="AA676" i="1"/>
  <c r="J676" i="1"/>
  <c r="AK675" i="1"/>
  <c r="AJ675" i="1"/>
  <c r="AI675" i="1"/>
  <c r="AC675" i="1"/>
  <c r="AA675" i="1"/>
  <c r="J675" i="1"/>
  <c r="AK674" i="1"/>
  <c r="AJ674" i="1"/>
  <c r="AI674" i="1"/>
  <c r="AC674" i="1"/>
  <c r="AA674" i="1"/>
  <c r="J674" i="1"/>
  <c r="AK673" i="1"/>
  <c r="AJ673" i="1"/>
  <c r="AI673" i="1"/>
  <c r="AC673" i="1"/>
  <c r="AA673" i="1"/>
  <c r="J673" i="1"/>
  <c r="AK672" i="1"/>
  <c r="AJ672" i="1"/>
  <c r="AI672" i="1"/>
  <c r="AC672" i="1"/>
  <c r="AA672" i="1"/>
  <c r="J672" i="1"/>
  <c r="AK671" i="1"/>
  <c r="AJ671" i="1"/>
  <c r="AI671" i="1"/>
  <c r="AC671" i="1"/>
  <c r="AA671" i="1"/>
  <c r="J671" i="1"/>
  <c r="AK670" i="1"/>
  <c r="AJ670" i="1"/>
  <c r="AI670" i="1"/>
  <c r="AC670" i="1"/>
  <c r="AA670" i="1"/>
  <c r="J670" i="1"/>
  <c r="AK669" i="1"/>
  <c r="AJ669" i="1"/>
  <c r="AI669" i="1"/>
  <c r="AC669" i="1"/>
  <c r="AA669" i="1"/>
  <c r="J669" i="1"/>
  <c r="AK668" i="1"/>
  <c r="AJ668" i="1"/>
  <c r="AI668" i="1"/>
  <c r="AC668" i="1"/>
  <c r="AA668" i="1"/>
  <c r="J668" i="1"/>
  <c r="AK667" i="1"/>
  <c r="AJ667" i="1"/>
  <c r="AI667" i="1"/>
  <c r="AC667" i="1"/>
  <c r="AA667" i="1"/>
  <c r="J667" i="1"/>
  <c r="AK666" i="1"/>
  <c r="AJ666" i="1"/>
  <c r="AI666" i="1"/>
  <c r="AC666" i="1"/>
  <c r="AA666" i="1"/>
  <c r="J666" i="1"/>
  <c r="AK665" i="1"/>
  <c r="AJ665" i="1"/>
  <c r="AI665" i="1"/>
  <c r="AC665" i="1"/>
  <c r="AA665" i="1"/>
  <c r="J665" i="1"/>
  <c r="AK664" i="1"/>
  <c r="AJ664" i="1"/>
  <c r="AI664" i="1"/>
  <c r="AC664" i="1"/>
  <c r="AA664" i="1"/>
  <c r="J664" i="1"/>
  <c r="AK663" i="1"/>
  <c r="AJ663" i="1"/>
  <c r="AI663" i="1"/>
  <c r="AC663" i="1"/>
  <c r="AA663" i="1"/>
  <c r="J663" i="1"/>
  <c r="AK662" i="1"/>
  <c r="AJ662" i="1"/>
  <c r="AI662" i="1"/>
  <c r="AC662" i="1"/>
  <c r="AA662" i="1"/>
  <c r="J662" i="1"/>
  <c r="AK661" i="1"/>
  <c r="AJ661" i="1"/>
  <c r="AI661" i="1"/>
  <c r="AC661" i="1"/>
  <c r="AA661" i="1"/>
  <c r="J661" i="1"/>
  <c r="AK660" i="1"/>
  <c r="AJ660" i="1"/>
  <c r="AI660" i="1"/>
  <c r="AC660" i="1"/>
  <c r="AA660" i="1"/>
  <c r="J660" i="1"/>
  <c r="AK659" i="1"/>
  <c r="AJ659" i="1"/>
  <c r="AI659" i="1"/>
  <c r="AC659" i="1"/>
  <c r="AA659" i="1"/>
  <c r="J659" i="1"/>
  <c r="AK658" i="1"/>
  <c r="AJ658" i="1"/>
  <c r="AI658" i="1"/>
  <c r="AC658" i="1"/>
  <c r="AA658" i="1"/>
  <c r="J658" i="1"/>
  <c r="AK657" i="1"/>
  <c r="AJ657" i="1"/>
  <c r="AI657" i="1"/>
  <c r="AC657" i="1"/>
  <c r="AA657" i="1"/>
  <c r="J657" i="1"/>
  <c r="AK656" i="1"/>
  <c r="AJ656" i="1"/>
  <c r="AI656" i="1"/>
  <c r="AC656" i="1"/>
  <c r="AA656" i="1"/>
  <c r="J656" i="1"/>
  <c r="AK655" i="1"/>
  <c r="AJ655" i="1"/>
  <c r="AI655" i="1"/>
  <c r="AC655" i="1"/>
  <c r="AA655" i="1"/>
  <c r="J655" i="1"/>
  <c r="AK654" i="1"/>
  <c r="AJ654" i="1"/>
  <c r="AI654" i="1"/>
  <c r="AC654" i="1"/>
  <c r="AA654" i="1"/>
  <c r="J654" i="1"/>
  <c r="AK653" i="1"/>
  <c r="AJ653" i="1"/>
  <c r="AI653" i="1"/>
  <c r="AC653" i="1"/>
  <c r="AA653" i="1"/>
  <c r="J653" i="1"/>
  <c r="AK652" i="1"/>
  <c r="AJ652" i="1"/>
  <c r="AI652" i="1"/>
  <c r="AC652" i="1"/>
  <c r="AA652" i="1"/>
  <c r="J652" i="1"/>
  <c r="AK651" i="1"/>
  <c r="AJ651" i="1"/>
  <c r="AI651" i="1"/>
  <c r="AC651" i="1"/>
  <c r="AA651" i="1"/>
  <c r="J651" i="1"/>
  <c r="AK650" i="1"/>
  <c r="AJ650" i="1"/>
  <c r="AI650" i="1"/>
  <c r="AC650" i="1"/>
  <c r="AA650" i="1"/>
  <c r="J650" i="1"/>
  <c r="AK649" i="1"/>
  <c r="AJ649" i="1"/>
  <c r="AI649" i="1"/>
  <c r="AC649" i="1"/>
  <c r="AA649" i="1"/>
  <c r="J649" i="1"/>
  <c r="AK648" i="1"/>
  <c r="AJ648" i="1"/>
  <c r="AI648" i="1"/>
  <c r="AC648" i="1"/>
  <c r="AA648" i="1"/>
  <c r="J648" i="1"/>
  <c r="AK647" i="1"/>
  <c r="AJ647" i="1"/>
  <c r="AI647" i="1"/>
  <c r="AC647" i="1"/>
  <c r="AA647" i="1"/>
  <c r="J647" i="1"/>
  <c r="AK646" i="1"/>
  <c r="AJ646" i="1"/>
  <c r="AI646" i="1"/>
  <c r="AC646" i="1"/>
  <c r="AA646" i="1"/>
  <c r="J646" i="1"/>
  <c r="AK645" i="1"/>
  <c r="AJ645" i="1"/>
  <c r="AI645" i="1"/>
  <c r="AC645" i="1"/>
  <c r="AA645" i="1"/>
  <c r="J645" i="1"/>
  <c r="AK644" i="1"/>
  <c r="AJ644" i="1"/>
  <c r="AI644" i="1"/>
  <c r="AC644" i="1"/>
  <c r="AA644" i="1"/>
  <c r="J644" i="1"/>
  <c r="AK643" i="1"/>
  <c r="AJ643" i="1"/>
  <c r="AI643" i="1"/>
  <c r="AC643" i="1"/>
  <c r="AA643" i="1"/>
  <c r="J643" i="1"/>
  <c r="AK642" i="1"/>
  <c r="AJ642" i="1"/>
  <c r="AI642" i="1"/>
  <c r="AC642" i="1"/>
  <c r="AA642" i="1"/>
  <c r="J642" i="1"/>
  <c r="AK641" i="1"/>
  <c r="AJ641" i="1"/>
  <c r="AI641" i="1"/>
  <c r="AC641" i="1"/>
  <c r="AA641" i="1"/>
  <c r="J641" i="1"/>
  <c r="AK640" i="1"/>
  <c r="AJ640" i="1"/>
  <c r="AI640" i="1"/>
  <c r="AC640" i="1"/>
  <c r="AA640" i="1"/>
  <c r="J640" i="1"/>
  <c r="AK639" i="1"/>
  <c r="AJ639" i="1"/>
  <c r="AI639" i="1"/>
  <c r="AC639" i="1"/>
  <c r="AA639" i="1"/>
  <c r="J639" i="1"/>
  <c r="AK638" i="1"/>
  <c r="AJ638" i="1"/>
  <c r="AI638" i="1"/>
  <c r="AC638" i="1"/>
  <c r="AA638" i="1"/>
  <c r="J638" i="1"/>
  <c r="AK637" i="1"/>
  <c r="AJ637" i="1"/>
  <c r="AI637" i="1"/>
  <c r="AC637" i="1"/>
  <c r="AA637" i="1"/>
  <c r="J637" i="1"/>
  <c r="AK636" i="1"/>
  <c r="AJ636" i="1"/>
  <c r="AI636" i="1"/>
  <c r="AC636" i="1"/>
  <c r="AA636" i="1"/>
  <c r="J636" i="1"/>
  <c r="AK635" i="1"/>
  <c r="AJ635" i="1"/>
  <c r="AI635" i="1"/>
  <c r="AC635" i="1"/>
  <c r="AA635" i="1"/>
  <c r="J635" i="1"/>
  <c r="AK634" i="1"/>
  <c r="AJ634" i="1"/>
  <c r="AI634" i="1"/>
  <c r="AC634" i="1"/>
  <c r="AA634" i="1"/>
  <c r="J634" i="1"/>
  <c r="AK633" i="1"/>
  <c r="AJ633" i="1"/>
  <c r="AI633" i="1"/>
  <c r="AC633" i="1"/>
  <c r="AA633" i="1"/>
  <c r="J633" i="1"/>
  <c r="AK632" i="1"/>
  <c r="AJ632" i="1"/>
  <c r="AI632" i="1"/>
  <c r="AC632" i="1"/>
  <c r="AA632" i="1"/>
  <c r="J632" i="1"/>
  <c r="AK631" i="1"/>
  <c r="AJ631" i="1"/>
  <c r="AI631" i="1"/>
  <c r="AC631" i="1"/>
  <c r="AA631" i="1"/>
  <c r="J631" i="1"/>
  <c r="AK630" i="1"/>
  <c r="AJ630" i="1"/>
  <c r="AI630" i="1"/>
  <c r="AC630" i="1"/>
  <c r="AA630" i="1"/>
  <c r="J630" i="1"/>
  <c r="AK629" i="1"/>
  <c r="AJ629" i="1"/>
  <c r="AI629" i="1"/>
  <c r="AC629" i="1"/>
  <c r="AA629" i="1"/>
  <c r="J629" i="1"/>
  <c r="AK628" i="1"/>
  <c r="AJ628" i="1"/>
  <c r="AI628" i="1"/>
  <c r="AC628" i="1"/>
  <c r="AA628" i="1"/>
  <c r="J628" i="1"/>
  <c r="AK627" i="1"/>
  <c r="AJ627" i="1"/>
  <c r="AI627" i="1"/>
  <c r="AC627" i="1"/>
  <c r="AA627" i="1"/>
  <c r="J627" i="1"/>
  <c r="AK626" i="1"/>
  <c r="AJ626" i="1"/>
  <c r="AI626" i="1"/>
  <c r="AC626" i="1"/>
  <c r="AA626" i="1"/>
  <c r="J626" i="1"/>
  <c r="AK625" i="1"/>
  <c r="AJ625" i="1"/>
  <c r="AI625" i="1"/>
  <c r="AC625" i="1"/>
  <c r="AA625" i="1"/>
  <c r="J625" i="1"/>
  <c r="AK624" i="1"/>
  <c r="AJ624" i="1"/>
  <c r="AI624" i="1"/>
  <c r="AC624" i="1"/>
  <c r="AA624" i="1"/>
  <c r="J624" i="1"/>
  <c r="AK623" i="1"/>
  <c r="AJ623" i="1"/>
  <c r="AI623" i="1"/>
  <c r="AC623" i="1"/>
  <c r="AA623" i="1"/>
  <c r="J623" i="1"/>
  <c r="AK622" i="1"/>
  <c r="AJ622" i="1"/>
  <c r="AI622" i="1"/>
  <c r="AC622" i="1"/>
  <c r="AA622" i="1"/>
  <c r="J622" i="1"/>
  <c r="AK621" i="1"/>
  <c r="AJ621" i="1"/>
  <c r="AI621" i="1"/>
  <c r="AC621" i="1"/>
  <c r="AA621" i="1"/>
  <c r="J621" i="1"/>
  <c r="AK620" i="1"/>
  <c r="AJ620" i="1"/>
  <c r="AI620" i="1"/>
  <c r="AC620" i="1"/>
  <c r="AA620" i="1"/>
  <c r="J620" i="1"/>
  <c r="AK619" i="1"/>
  <c r="AJ619" i="1"/>
  <c r="AI619" i="1"/>
  <c r="AC619" i="1"/>
  <c r="AA619" i="1"/>
  <c r="J619" i="1"/>
  <c r="AK618" i="1"/>
  <c r="AJ618" i="1"/>
  <c r="AI618" i="1"/>
  <c r="AC618" i="1"/>
  <c r="AA618" i="1"/>
  <c r="J618" i="1"/>
  <c r="AK617" i="1"/>
  <c r="AJ617" i="1"/>
  <c r="AI617" i="1"/>
  <c r="AC617" i="1"/>
  <c r="AA617" i="1"/>
  <c r="J617" i="1"/>
  <c r="AK616" i="1"/>
  <c r="AJ616" i="1"/>
  <c r="AI616" i="1"/>
  <c r="AC616" i="1"/>
  <c r="AA616" i="1"/>
  <c r="J616" i="1"/>
  <c r="AK615" i="1"/>
  <c r="AJ615" i="1"/>
  <c r="AI615" i="1"/>
  <c r="AC615" i="1"/>
  <c r="AA615" i="1"/>
  <c r="J615" i="1"/>
  <c r="AK614" i="1"/>
  <c r="AJ614" i="1"/>
  <c r="AI614" i="1"/>
  <c r="AC614" i="1"/>
  <c r="AA614" i="1"/>
  <c r="J614" i="1"/>
  <c r="AK613" i="1"/>
  <c r="AJ613" i="1"/>
  <c r="AI613" i="1"/>
  <c r="AC613" i="1"/>
  <c r="AA613" i="1"/>
  <c r="J613" i="1"/>
  <c r="AK612" i="1"/>
  <c r="AJ612" i="1"/>
  <c r="AI612" i="1"/>
  <c r="AC612" i="1"/>
  <c r="AA612" i="1"/>
  <c r="J612" i="1"/>
  <c r="AK611" i="1"/>
  <c r="AJ611" i="1"/>
  <c r="AI611" i="1"/>
  <c r="AC611" i="1"/>
  <c r="AA611" i="1"/>
  <c r="J611" i="1"/>
  <c r="AK610" i="1"/>
  <c r="AJ610" i="1"/>
  <c r="AI610" i="1"/>
  <c r="AC610" i="1"/>
  <c r="AA610" i="1"/>
  <c r="J610" i="1"/>
  <c r="AK609" i="1"/>
  <c r="AJ609" i="1"/>
  <c r="AI609" i="1"/>
  <c r="AC609" i="1"/>
  <c r="AA609" i="1"/>
  <c r="J609" i="1"/>
  <c r="AK608" i="1"/>
  <c r="AJ608" i="1"/>
  <c r="AI608" i="1"/>
  <c r="AC608" i="1"/>
  <c r="AA608" i="1"/>
  <c r="J608" i="1"/>
  <c r="AK607" i="1"/>
  <c r="AJ607" i="1"/>
  <c r="AI607" i="1"/>
  <c r="AC607" i="1"/>
  <c r="AA607" i="1"/>
  <c r="J607" i="1"/>
  <c r="AK606" i="1"/>
  <c r="AJ606" i="1"/>
  <c r="AI606" i="1"/>
  <c r="AC606" i="1"/>
  <c r="AA606" i="1"/>
  <c r="J606" i="1"/>
  <c r="AK605" i="1"/>
  <c r="AJ605" i="1"/>
  <c r="AI605" i="1"/>
  <c r="AC605" i="1"/>
  <c r="AA605" i="1"/>
  <c r="J605" i="1"/>
  <c r="AK604" i="1"/>
  <c r="AJ604" i="1"/>
  <c r="AI604" i="1"/>
  <c r="AC604" i="1"/>
  <c r="AA604" i="1"/>
  <c r="J604" i="1"/>
  <c r="AK603" i="1"/>
  <c r="AJ603" i="1"/>
  <c r="AI603" i="1"/>
  <c r="AC603" i="1"/>
  <c r="AA603" i="1"/>
  <c r="J603" i="1"/>
  <c r="AK602" i="1"/>
  <c r="AJ602" i="1"/>
  <c r="AI602" i="1"/>
  <c r="AC602" i="1"/>
  <c r="AA602" i="1"/>
  <c r="J602" i="1"/>
  <c r="AK601" i="1"/>
  <c r="AJ601" i="1"/>
  <c r="AI601" i="1"/>
  <c r="AC601" i="1"/>
  <c r="AA601" i="1"/>
  <c r="J601" i="1"/>
  <c r="AK600" i="1"/>
  <c r="AJ600" i="1"/>
  <c r="AI600" i="1"/>
  <c r="AC600" i="1"/>
  <c r="AA600" i="1"/>
  <c r="J600" i="1"/>
  <c r="AK599" i="1"/>
  <c r="AJ599" i="1"/>
  <c r="AI599" i="1"/>
  <c r="AC599" i="1"/>
  <c r="AA599" i="1"/>
  <c r="J599" i="1"/>
  <c r="AK598" i="1"/>
  <c r="AJ598" i="1"/>
  <c r="AI598" i="1"/>
  <c r="AC598" i="1"/>
  <c r="AA598" i="1"/>
  <c r="J598" i="1"/>
  <c r="AK597" i="1"/>
  <c r="AJ597" i="1"/>
  <c r="AI597" i="1"/>
  <c r="AC597" i="1"/>
  <c r="AA597" i="1"/>
  <c r="J597" i="1"/>
  <c r="AK596" i="1"/>
  <c r="AJ596" i="1"/>
  <c r="AI596" i="1"/>
  <c r="AC596" i="1"/>
  <c r="AA596" i="1"/>
  <c r="J596" i="1"/>
  <c r="AK595" i="1"/>
  <c r="AJ595" i="1"/>
  <c r="AI595" i="1"/>
  <c r="AC595" i="1"/>
  <c r="AA595" i="1"/>
  <c r="J595" i="1"/>
  <c r="AK594" i="1"/>
  <c r="AJ594" i="1"/>
  <c r="AI594" i="1"/>
  <c r="AC594" i="1"/>
  <c r="AA594" i="1"/>
  <c r="J594" i="1"/>
  <c r="AK593" i="1"/>
  <c r="AJ593" i="1"/>
  <c r="AI593" i="1"/>
  <c r="AC593" i="1"/>
  <c r="AA593" i="1"/>
  <c r="J593" i="1"/>
  <c r="AK592" i="1"/>
  <c r="AJ592" i="1"/>
  <c r="AI592" i="1"/>
  <c r="AC592" i="1"/>
  <c r="AA592" i="1"/>
  <c r="J592" i="1"/>
  <c r="AK591" i="1"/>
  <c r="AJ591" i="1"/>
  <c r="AI591" i="1"/>
  <c r="AC591" i="1"/>
  <c r="AA591" i="1"/>
  <c r="J591" i="1"/>
  <c r="AK590" i="1"/>
  <c r="AJ590" i="1"/>
  <c r="AI590" i="1"/>
  <c r="AC590" i="1"/>
  <c r="AA590" i="1"/>
  <c r="J590" i="1"/>
  <c r="AK589" i="1"/>
  <c r="AJ589" i="1"/>
  <c r="AI589" i="1"/>
  <c r="AC589" i="1"/>
  <c r="AA589" i="1"/>
  <c r="J589" i="1"/>
  <c r="AK588" i="1"/>
  <c r="AJ588" i="1"/>
  <c r="AI588" i="1"/>
  <c r="AC588" i="1"/>
  <c r="AA588" i="1"/>
  <c r="J588" i="1"/>
  <c r="AK587" i="1"/>
  <c r="AJ587" i="1"/>
  <c r="AI587" i="1"/>
  <c r="AC587" i="1"/>
  <c r="AA587" i="1"/>
  <c r="J587" i="1"/>
  <c r="AK586" i="1"/>
  <c r="AJ586" i="1"/>
  <c r="AI586" i="1"/>
  <c r="AC586" i="1"/>
  <c r="AA586" i="1"/>
  <c r="J586" i="1"/>
  <c r="AK585" i="1"/>
  <c r="AJ585" i="1"/>
  <c r="AI585" i="1"/>
  <c r="AC585" i="1"/>
  <c r="AA585" i="1"/>
  <c r="J585" i="1"/>
  <c r="AK584" i="1"/>
  <c r="AJ584" i="1"/>
  <c r="AI584" i="1"/>
  <c r="AC584" i="1"/>
  <c r="AA584" i="1"/>
  <c r="J584" i="1"/>
  <c r="AK583" i="1"/>
  <c r="AJ583" i="1"/>
  <c r="AI583" i="1"/>
  <c r="AC583" i="1"/>
  <c r="AA583" i="1"/>
  <c r="J583" i="1"/>
  <c r="AK582" i="1"/>
  <c r="AJ582" i="1"/>
  <c r="AI582" i="1"/>
  <c r="AC582" i="1"/>
  <c r="AA582" i="1"/>
  <c r="J582" i="1"/>
  <c r="AK581" i="1"/>
  <c r="AJ581" i="1"/>
  <c r="AI581" i="1"/>
  <c r="AC581" i="1"/>
  <c r="AA581" i="1"/>
  <c r="J581" i="1"/>
  <c r="AK580" i="1"/>
  <c r="AJ580" i="1"/>
  <c r="AI580" i="1"/>
  <c r="AC580" i="1"/>
  <c r="AA580" i="1"/>
  <c r="J580" i="1"/>
  <c r="AK579" i="1"/>
  <c r="AJ579" i="1"/>
  <c r="AI579" i="1"/>
  <c r="AC579" i="1"/>
  <c r="AA579" i="1"/>
  <c r="J579" i="1"/>
  <c r="AK578" i="1"/>
  <c r="AJ578" i="1"/>
  <c r="AI578" i="1"/>
  <c r="AC578" i="1"/>
  <c r="AA578" i="1"/>
  <c r="J578" i="1"/>
  <c r="AK577" i="1"/>
  <c r="AJ577" i="1"/>
  <c r="AI577" i="1"/>
  <c r="AC577" i="1"/>
  <c r="AA577" i="1"/>
  <c r="J577" i="1"/>
  <c r="AK576" i="1"/>
  <c r="AJ576" i="1"/>
  <c r="AI576" i="1"/>
  <c r="AC576" i="1"/>
  <c r="AA576" i="1"/>
  <c r="J576" i="1"/>
  <c r="AK575" i="1"/>
  <c r="AJ575" i="1"/>
  <c r="AI575" i="1"/>
  <c r="AC575" i="1"/>
  <c r="AA575" i="1"/>
  <c r="J575" i="1"/>
  <c r="AK574" i="1"/>
  <c r="AJ574" i="1"/>
  <c r="AI574" i="1"/>
  <c r="AC574" i="1"/>
  <c r="AA574" i="1"/>
  <c r="J574" i="1"/>
  <c r="AK573" i="1"/>
  <c r="AJ573" i="1"/>
  <c r="AI573" i="1"/>
  <c r="AC573" i="1"/>
  <c r="AA573" i="1"/>
  <c r="J573" i="1"/>
  <c r="AK572" i="1"/>
  <c r="AJ572" i="1"/>
  <c r="AI572" i="1"/>
  <c r="AC572" i="1"/>
  <c r="AA572" i="1"/>
  <c r="J572" i="1"/>
  <c r="AK571" i="1"/>
  <c r="AJ571" i="1"/>
  <c r="AI571" i="1"/>
  <c r="AC571" i="1"/>
  <c r="AA571" i="1"/>
  <c r="J571" i="1"/>
  <c r="AK570" i="1"/>
  <c r="AJ570" i="1"/>
  <c r="AI570" i="1"/>
  <c r="AC570" i="1"/>
  <c r="AA570" i="1"/>
  <c r="J570" i="1"/>
  <c r="AK569" i="1"/>
  <c r="AJ569" i="1"/>
  <c r="AI569" i="1"/>
  <c r="AC569" i="1"/>
  <c r="AA569" i="1"/>
  <c r="J569" i="1"/>
  <c r="AK568" i="1"/>
  <c r="AJ568" i="1"/>
  <c r="AI568" i="1"/>
  <c r="AC568" i="1"/>
  <c r="AA568" i="1"/>
  <c r="J568" i="1"/>
  <c r="AK567" i="1"/>
  <c r="AJ567" i="1"/>
  <c r="AI567" i="1"/>
  <c r="AC567" i="1"/>
  <c r="AA567" i="1"/>
  <c r="J567" i="1"/>
  <c r="AK566" i="1"/>
  <c r="AJ566" i="1"/>
  <c r="AI566" i="1"/>
  <c r="AC566" i="1"/>
  <c r="AA566" i="1"/>
  <c r="J566" i="1"/>
  <c r="AK565" i="1"/>
  <c r="AJ565" i="1"/>
  <c r="AI565" i="1"/>
  <c r="AC565" i="1"/>
  <c r="AA565" i="1"/>
  <c r="J565" i="1"/>
  <c r="AK564" i="1"/>
  <c r="AJ564" i="1"/>
  <c r="AI564" i="1"/>
  <c r="AC564" i="1"/>
  <c r="AA564" i="1"/>
  <c r="J564" i="1"/>
  <c r="AK563" i="1"/>
  <c r="AJ563" i="1"/>
  <c r="AI563" i="1"/>
  <c r="AC563" i="1"/>
  <c r="AA563" i="1"/>
  <c r="J563" i="1"/>
  <c r="AK562" i="1"/>
  <c r="AJ562" i="1"/>
  <c r="AI562" i="1"/>
  <c r="AC562" i="1"/>
  <c r="AA562" i="1"/>
  <c r="J562" i="1"/>
  <c r="AK561" i="1"/>
  <c r="AJ561" i="1"/>
  <c r="AI561" i="1"/>
  <c r="AC561" i="1"/>
  <c r="AA561" i="1"/>
  <c r="J561" i="1"/>
  <c r="AK560" i="1"/>
  <c r="AJ560" i="1"/>
  <c r="AI560" i="1"/>
  <c r="AC560" i="1"/>
  <c r="AA560" i="1"/>
  <c r="J560" i="1"/>
  <c r="AK559" i="1"/>
  <c r="AJ559" i="1"/>
  <c r="AI559" i="1"/>
  <c r="AC559" i="1"/>
  <c r="AA559" i="1"/>
  <c r="J559" i="1"/>
  <c r="AK558" i="1"/>
  <c r="AJ558" i="1"/>
  <c r="AI558" i="1"/>
  <c r="AC558" i="1"/>
  <c r="AA558" i="1"/>
  <c r="J558" i="1"/>
  <c r="AK557" i="1"/>
  <c r="AJ557" i="1"/>
  <c r="AI557" i="1"/>
  <c r="AC557" i="1"/>
  <c r="AA557" i="1"/>
  <c r="J557" i="1"/>
  <c r="AK556" i="1"/>
  <c r="AJ556" i="1"/>
  <c r="AI556" i="1"/>
  <c r="AC556" i="1"/>
  <c r="AA556" i="1"/>
  <c r="J556" i="1"/>
  <c r="AK555" i="1"/>
  <c r="AJ555" i="1"/>
  <c r="AI555" i="1"/>
  <c r="AC555" i="1"/>
  <c r="AA555" i="1"/>
  <c r="J555" i="1"/>
  <c r="AK554" i="1"/>
  <c r="AJ554" i="1"/>
  <c r="AI554" i="1"/>
  <c r="AC554" i="1"/>
  <c r="AA554" i="1"/>
  <c r="J554" i="1"/>
  <c r="AK553" i="1"/>
  <c r="AJ553" i="1"/>
  <c r="AI553" i="1"/>
  <c r="AC553" i="1"/>
  <c r="AA553" i="1"/>
  <c r="J553" i="1"/>
  <c r="AK552" i="1"/>
  <c r="AJ552" i="1"/>
  <c r="AI552" i="1"/>
  <c r="AC552" i="1"/>
  <c r="AA552" i="1"/>
  <c r="J552" i="1"/>
  <c r="AK551" i="1"/>
  <c r="AJ551" i="1"/>
  <c r="AI551" i="1"/>
  <c r="AC551" i="1"/>
  <c r="AA551" i="1"/>
  <c r="J551" i="1"/>
  <c r="AK550" i="1"/>
  <c r="AJ550" i="1"/>
  <c r="AI550" i="1"/>
  <c r="AC550" i="1"/>
  <c r="AA550" i="1"/>
  <c r="J550" i="1"/>
  <c r="AK549" i="1"/>
  <c r="AJ549" i="1"/>
  <c r="AI549" i="1"/>
  <c r="AC549" i="1"/>
  <c r="AA549" i="1"/>
  <c r="J549" i="1"/>
  <c r="AK548" i="1"/>
  <c r="AJ548" i="1"/>
  <c r="AI548" i="1"/>
  <c r="AC548" i="1"/>
  <c r="AA548" i="1"/>
  <c r="J548" i="1"/>
  <c r="AK547" i="1"/>
  <c r="AJ547" i="1"/>
  <c r="AI547" i="1"/>
  <c r="AC547" i="1"/>
  <c r="AA547" i="1"/>
  <c r="J547" i="1"/>
  <c r="AK546" i="1"/>
  <c r="AJ546" i="1"/>
  <c r="AI546" i="1"/>
  <c r="AC546" i="1"/>
  <c r="AA546" i="1"/>
  <c r="J546" i="1"/>
  <c r="AK545" i="1"/>
  <c r="AJ545" i="1"/>
  <c r="AI545" i="1"/>
  <c r="AC545" i="1"/>
  <c r="AA545" i="1"/>
  <c r="J545" i="1"/>
  <c r="AK544" i="1"/>
  <c r="AJ544" i="1"/>
  <c r="AI544" i="1"/>
  <c r="AC544" i="1"/>
  <c r="AA544" i="1"/>
  <c r="J544" i="1"/>
  <c r="AK543" i="1"/>
  <c r="AJ543" i="1"/>
  <c r="AI543" i="1"/>
  <c r="AC543" i="1"/>
  <c r="AA543" i="1"/>
  <c r="J543" i="1"/>
  <c r="AK542" i="1"/>
  <c r="AJ542" i="1"/>
  <c r="AI542" i="1"/>
  <c r="AC542" i="1"/>
  <c r="AA542" i="1"/>
  <c r="J542" i="1"/>
  <c r="AK541" i="1"/>
  <c r="AJ541" i="1"/>
  <c r="AI541" i="1"/>
  <c r="AC541" i="1"/>
  <c r="AA541" i="1"/>
  <c r="J541" i="1"/>
  <c r="AK540" i="1"/>
  <c r="AJ540" i="1"/>
  <c r="AI540" i="1"/>
  <c r="AC540" i="1"/>
  <c r="AA540" i="1"/>
  <c r="J540" i="1"/>
  <c r="AK539" i="1"/>
  <c r="AJ539" i="1"/>
  <c r="AI539" i="1"/>
  <c r="AC539" i="1"/>
  <c r="AA539" i="1"/>
  <c r="J539" i="1"/>
  <c r="AK538" i="1"/>
  <c r="AJ538" i="1"/>
  <c r="AI538" i="1"/>
  <c r="AC538" i="1"/>
  <c r="AA538" i="1"/>
  <c r="J538" i="1"/>
  <c r="AK537" i="1"/>
  <c r="AJ537" i="1"/>
  <c r="AI537" i="1"/>
  <c r="AC537" i="1"/>
  <c r="AA537" i="1"/>
  <c r="J537" i="1"/>
  <c r="AK536" i="1"/>
  <c r="AJ536" i="1"/>
  <c r="AI536" i="1"/>
  <c r="AC536" i="1"/>
  <c r="AA536" i="1"/>
  <c r="J536" i="1"/>
  <c r="AK535" i="1"/>
  <c r="AJ535" i="1"/>
  <c r="AI535" i="1"/>
  <c r="AC535" i="1"/>
  <c r="AA535" i="1"/>
  <c r="J535" i="1"/>
  <c r="AK534" i="1"/>
  <c r="AJ534" i="1"/>
  <c r="AI534" i="1"/>
  <c r="AC534" i="1"/>
  <c r="AA534" i="1"/>
  <c r="J534" i="1"/>
  <c r="AK533" i="1"/>
  <c r="AJ533" i="1"/>
  <c r="AI533" i="1"/>
  <c r="AC533" i="1"/>
  <c r="AA533" i="1"/>
  <c r="J533" i="1"/>
  <c r="AK532" i="1"/>
  <c r="AJ532" i="1"/>
  <c r="AI532" i="1"/>
  <c r="AC532" i="1"/>
  <c r="AA532" i="1"/>
  <c r="J532" i="1"/>
  <c r="AK531" i="1"/>
  <c r="AJ531" i="1"/>
  <c r="AI531" i="1"/>
  <c r="AC531" i="1"/>
  <c r="AA531" i="1"/>
  <c r="J531" i="1"/>
  <c r="AK530" i="1"/>
  <c r="AJ530" i="1"/>
  <c r="AI530" i="1"/>
  <c r="AC530" i="1"/>
  <c r="AA530" i="1"/>
  <c r="J530" i="1"/>
  <c r="AK529" i="1"/>
  <c r="AJ529" i="1"/>
  <c r="AI529" i="1"/>
  <c r="AC529" i="1"/>
  <c r="AA529" i="1"/>
  <c r="J529" i="1"/>
  <c r="AK528" i="1"/>
  <c r="AJ528" i="1"/>
  <c r="AI528" i="1"/>
  <c r="AC528" i="1"/>
  <c r="AA528" i="1"/>
  <c r="J528" i="1"/>
  <c r="AK527" i="1"/>
  <c r="AJ527" i="1"/>
  <c r="AI527" i="1"/>
  <c r="AC527" i="1"/>
  <c r="AA527" i="1"/>
  <c r="J527" i="1"/>
  <c r="AK526" i="1"/>
  <c r="AJ526" i="1"/>
  <c r="AI526" i="1"/>
  <c r="AC526" i="1"/>
  <c r="AA526" i="1"/>
  <c r="J526" i="1"/>
  <c r="AK525" i="1"/>
  <c r="AJ525" i="1"/>
  <c r="AI525" i="1"/>
  <c r="AC525" i="1"/>
  <c r="AA525" i="1"/>
  <c r="J525" i="1"/>
  <c r="AK524" i="1"/>
  <c r="AJ524" i="1"/>
  <c r="AI524" i="1"/>
  <c r="AC524" i="1"/>
  <c r="AA524" i="1"/>
  <c r="J524" i="1"/>
  <c r="AK523" i="1"/>
  <c r="AJ523" i="1"/>
  <c r="AI523" i="1"/>
  <c r="AC523" i="1"/>
  <c r="AA523" i="1"/>
  <c r="J523" i="1"/>
  <c r="AK522" i="1"/>
  <c r="AJ522" i="1"/>
  <c r="AI522" i="1"/>
  <c r="AC522" i="1"/>
  <c r="AA522" i="1"/>
  <c r="J522" i="1"/>
  <c r="AK521" i="1"/>
  <c r="AJ521" i="1"/>
  <c r="AI521" i="1"/>
  <c r="AC521" i="1"/>
  <c r="AA521" i="1"/>
  <c r="J521" i="1"/>
  <c r="AK520" i="1"/>
  <c r="AJ520" i="1"/>
  <c r="AI520" i="1"/>
  <c r="AC520" i="1"/>
  <c r="AA520" i="1"/>
  <c r="J520" i="1"/>
  <c r="AK519" i="1"/>
  <c r="AJ519" i="1"/>
  <c r="AI519" i="1"/>
  <c r="AC519" i="1"/>
  <c r="AA519" i="1"/>
  <c r="J519" i="1"/>
  <c r="AK518" i="1"/>
  <c r="AJ518" i="1"/>
  <c r="AI518" i="1"/>
  <c r="AC518" i="1"/>
  <c r="AA518" i="1"/>
  <c r="J518" i="1"/>
  <c r="AK517" i="1"/>
  <c r="AJ517" i="1"/>
  <c r="AI517" i="1"/>
  <c r="AC517" i="1"/>
  <c r="AA517" i="1"/>
  <c r="J517" i="1"/>
  <c r="AK516" i="1"/>
  <c r="AJ516" i="1"/>
  <c r="AI516" i="1"/>
  <c r="AC516" i="1"/>
  <c r="AA516" i="1"/>
  <c r="J516" i="1"/>
  <c r="AK515" i="1"/>
  <c r="AJ515" i="1"/>
  <c r="AI515" i="1"/>
  <c r="AC515" i="1"/>
  <c r="AA515" i="1"/>
  <c r="J515" i="1"/>
  <c r="AK514" i="1"/>
  <c r="AJ514" i="1"/>
  <c r="AI514" i="1"/>
  <c r="AC514" i="1"/>
  <c r="AA514" i="1"/>
  <c r="J514" i="1"/>
  <c r="AK513" i="1"/>
  <c r="AJ513" i="1"/>
  <c r="AI513" i="1"/>
  <c r="AC513" i="1"/>
  <c r="AA513" i="1"/>
  <c r="J513" i="1"/>
  <c r="AK512" i="1"/>
  <c r="AJ512" i="1"/>
  <c r="AI512" i="1"/>
  <c r="AC512" i="1"/>
  <c r="AA512" i="1"/>
  <c r="J512" i="1"/>
  <c r="AK511" i="1"/>
  <c r="AJ511" i="1"/>
  <c r="AI511" i="1"/>
  <c r="AC511" i="1"/>
  <c r="AA511" i="1"/>
  <c r="J511" i="1"/>
  <c r="AK510" i="1"/>
  <c r="AJ510" i="1"/>
  <c r="AI510" i="1"/>
  <c r="AC510" i="1"/>
  <c r="AA510" i="1"/>
  <c r="J510" i="1"/>
  <c r="AK509" i="1"/>
  <c r="AJ509" i="1"/>
  <c r="AI509" i="1"/>
  <c r="AC509" i="1"/>
  <c r="AA509" i="1"/>
  <c r="J509" i="1"/>
  <c r="AK508" i="1"/>
  <c r="AJ508" i="1"/>
  <c r="AI508" i="1"/>
  <c r="AC508" i="1"/>
  <c r="AA508" i="1"/>
  <c r="J508" i="1"/>
  <c r="AK507" i="1"/>
  <c r="AJ507" i="1"/>
  <c r="AI507" i="1"/>
  <c r="AC507" i="1"/>
  <c r="AA507" i="1"/>
  <c r="J507" i="1"/>
  <c r="AK506" i="1"/>
  <c r="AJ506" i="1"/>
  <c r="AI506" i="1"/>
  <c r="AC506" i="1"/>
  <c r="AA506" i="1"/>
  <c r="J506" i="1"/>
  <c r="AK505" i="1"/>
  <c r="AJ505" i="1"/>
  <c r="AI505" i="1"/>
  <c r="AC505" i="1"/>
  <c r="AA505" i="1"/>
  <c r="J505" i="1"/>
  <c r="AK504" i="1"/>
  <c r="AJ504" i="1"/>
  <c r="AI504" i="1"/>
  <c r="AC504" i="1"/>
  <c r="AA504" i="1"/>
  <c r="J504" i="1"/>
  <c r="AK503" i="1"/>
  <c r="AJ503" i="1"/>
  <c r="AI503" i="1"/>
  <c r="AC503" i="1"/>
  <c r="AA503" i="1"/>
  <c r="J503" i="1"/>
  <c r="AK502" i="1"/>
  <c r="AJ502" i="1"/>
  <c r="AI502" i="1"/>
  <c r="AC502" i="1"/>
  <c r="AA502" i="1"/>
  <c r="J502" i="1"/>
  <c r="AK501" i="1"/>
  <c r="AJ501" i="1"/>
  <c r="AI501" i="1"/>
  <c r="AA501" i="1"/>
  <c r="J501" i="1"/>
  <c r="AK500" i="1"/>
  <c r="AJ500" i="1"/>
  <c r="AI500" i="1"/>
  <c r="AC500" i="1"/>
  <c r="AA500" i="1"/>
  <c r="J500" i="1"/>
  <c r="AK499" i="1"/>
  <c r="AJ499" i="1"/>
  <c r="AI499" i="1"/>
  <c r="AC499" i="1"/>
  <c r="AA499" i="1"/>
  <c r="J499" i="1"/>
  <c r="AK498" i="1"/>
  <c r="AJ498" i="1"/>
  <c r="AI498" i="1"/>
  <c r="AC498" i="1"/>
  <c r="AA498" i="1"/>
  <c r="J498" i="1"/>
  <c r="AK497" i="1"/>
  <c r="AJ497" i="1"/>
  <c r="AI497" i="1"/>
  <c r="AC497" i="1"/>
  <c r="AA497" i="1"/>
  <c r="J497" i="1"/>
  <c r="AK496" i="1"/>
  <c r="AJ496" i="1"/>
  <c r="AI496" i="1"/>
  <c r="AC496" i="1"/>
  <c r="AA496" i="1"/>
  <c r="J496" i="1"/>
  <c r="AK495" i="1"/>
  <c r="AJ495" i="1"/>
  <c r="AI495" i="1"/>
  <c r="AC495" i="1"/>
  <c r="AA495" i="1"/>
  <c r="J495" i="1"/>
  <c r="AK494" i="1"/>
  <c r="AJ494" i="1"/>
  <c r="AI494" i="1"/>
  <c r="AC494" i="1"/>
  <c r="AA494" i="1"/>
  <c r="J494" i="1"/>
  <c r="AK493" i="1"/>
  <c r="AJ493" i="1"/>
  <c r="AI493" i="1"/>
  <c r="AC493" i="1"/>
  <c r="AA493" i="1"/>
  <c r="J493" i="1"/>
  <c r="AK492" i="1"/>
  <c r="AJ492" i="1"/>
  <c r="AI492" i="1"/>
  <c r="AC492" i="1"/>
  <c r="AA492" i="1"/>
  <c r="J492" i="1"/>
  <c r="AK491" i="1"/>
  <c r="AJ491" i="1"/>
  <c r="AI491" i="1"/>
  <c r="AC491" i="1"/>
  <c r="AA491" i="1"/>
  <c r="J491" i="1"/>
  <c r="AK490" i="1"/>
  <c r="AJ490" i="1"/>
  <c r="AI490" i="1"/>
  <c r="AC490" i="1"/>
  <c r="AA490" i="1"/>
  <c r="J490" i="1"/>
  <c r="AK489" i="1"/>
  <c r="AJ489" i="1"/>
  <c r="AI489" i="1"/>
  <c r="AC489" i="1"/>
  <c r="AA489" i="1"/>
  <c r="J489" i="1"/>
  <c r="AK488" i="1"/>
  <c r="AJ488" i="1"/>
  <c r="AI488" i="1"/>
  <c r="AC488" i="1"/>
  <c r="AA488" i="1"/>
  <c r="J488" i="1"/>
  <c r="AK487" i="1"/>
  <c r="AJ487" i="1"/>
  <c r="AI487" i="1"/>
  <c r="AC487" i="1"/>
  <c r="AA487" i="1"/>
  <c r="J487" i="1"/>
  <c r="AK486" i="1"/>
  <c r="AJ486" i="1"/>
  <c r="AI486" i="1"/>
  <c r="AC486" i="1"/>
  <c r="AA486" i="1"/>
  <c r="J486" i="1"/>
  <c r="AK485" i="1"/>
  <c r="AJ485" i="1"/>
  <c r="AI485" i="1"/>
  <c r="AC485" i="1"/>
  <c r="AA485" i="1"/>
  <c r="J485" i="1"/>
  <c r="AK484" i="1"/>
  <c r="AJ484" i="1"/>
  <c r="AI484" i="1"/>
  <c r="AC484" i="1"/>
  <c r="AA484" i="1"/>
  <c r="J484" i="1"/>
  <c r="AK483" i="1"/>
  <c r="AJ483" i="1"/>
  <c r="AI483" i="1"/>
  <c r="AC483" i="1"/>
  <c r="AA483" i="1"/>
  <c r="J483" i="1"/>
  <c r="AK482" i="1"/>
  <c r="AJ482" i="1"/>
  <c r="AI482" i="1"/>
  <c r="AC482" i="1"/>
  <c r="AA482" i="1"/>
  <c r="J482" i="1"/>
  <c r="AK481" i="1"/>
  <c r="AJ481" i="1"/>
  <c r="AI481" i="1"/>
  <c r="AC481" i="1"/>
  <c r="AA481" i="1"/>
  <c r="J481" i="1"/>
  <c r="AK480" i="1"/>
  <c r="AJ480" i="1"/>
  <c r="AI480" i="1"/>
  <c r="AC480" i="1"/>
  <c r="AA480" i="1"/>
  <c r="J480" i="1"/>
  <c r="AK479" i="1"/>
  <c r="AJ479" i="1"/>
  <c r="AI479" i="1"/>
  <c r="AA479" i="1"/>
  <c r="J479" i="1"/>
  <c r="AK478" i="1"/>
  <c r="AJ478" i="1"/>
  <c r="AI478" i="1"/>
  <c r="AC478" i="1"/>
  <c r="AA478" i="1"/>
  <c r="J478" i="1"/>
  <c r="AK477" i="1"/>
  <c r="AJ477" i="1"/>
  <c r="AI477" i="1"/>
  <c r="AC477" i="1"/>
  <c r="AA477" i="1"/>
  <c r="J477" i="1"/>
  <c r="AK476" i="1"/>
  <c r="AJ476" i="1"/>
  <c r="AI476" i="1"/>
  <c r="AC476" i="1"/>
  <c r="AA476" i="1"/>
  <c r="J476" i="1"/>
  <c r="I476" i="1"/>
  <c r="AK475" i="1"/>
  <c r="AJ475" i="1"/>
  <c r="AI475" i="1"/>
  <c r="AC475" i="1"/>
  <c r="AA475" i="1"/>
  <c r="J475" i="1"/>
  <c r="AK474" i="1"/>
  <c r="AJ474" i="1"/>
  <c r="AI474" i="1"/>
  <c r="AC474" i="1"/>
  <c r="AA474" i="1"/>
  <c r="J474" i="1"/>
  <c r="AK473" i="1"/>
  <c r="AJ473" i="1"/>
  <c r="AI473" i="1"/>
  <c r="AA473" i="1"/>
  <c r="J473" i="1"/>
  <c r="AK472" i="1"/>
  <c r="AJ472" i="1"/>
  <c r="AI472" i="1"/>
  <c r="AC472" i="1"/>
  <c r="AA472" i="1"/>
  <c r="J472" i="1"/>
  <c r="AK471" i="1"/>
  <c r="AJ471" i="1"/>
  <c r="AI471" i="1"/>
  <c r="AC471" i="1"/>
  <c r="AA471" i="1"/>
  <c r="J471" i="1"/>
  <c r="AK470" i="1"/>
  <c r="AJ470" i="1"/>
  <c r="AI470" i="1"/>
  <c r="AC470" i="1"/>
  <c r="AA470" i="1"/>
  <c r="J470" i="1"/>
  <c r="AK469" i="1"/>
  <c r="AJ469" i="1"/>
  <c r="AI469" i="1"/>
  <c r="AC469" i="1"/>
  <c r="AA469" i="1"/>
  <c r="J469" i="1"/>
  <c r="AK468" i="1"/>
  <c r="AJ468" i="1"/>
  <c r="AI468" i="1"/>
  <c r="AC468" i="1"/>
  <c r="AA468" i="1"/>
  <c r="J468" i="1"/>
  <c r="AK467" i="1"/>
  <c r="AJ467" i="1"/>
  <c r="AI467" i="1"/>
  <c r="AC467" i="1"/>
  <c r="AA467" i="1"/>
  <c r="J467" i="1"/>
  <c r="AK466" i="1"/>
  <c r="AJ466" i="1"/>
  <c r="AI466" i="1"/>
  <c r="AC466" i="1"/>
  <c r="AA466" i="1"/>
  <c r="J466" i="1"/>
  <c r="AK465" i="1"/>
  <c r="AJ465" i="1"/>
  <c r="AI465" i="1"/>
  <c r="AC465" i="1"/>
  <c r="AA465" i="1"/>
  <c r="J465" i="1"/>
  <c r="AK464" i="1"/>
  <c r="AJ464" i="1"/>
  <c r="AI464" i="1"/>
  <c r="AC464" i="1"/>
  <c r="AA464" i="1"/>
  <c r="J464" i="1"/>
  <c r="AK463" i="1"/>
  <c r="AJ463" i="1"/>
  <c r="AI463" i="1"/>
  <c r="AC463" i="1"/>
  <c r="AA463" i="1"/>
  <c r="J463" i="1"/>
  <c r="AK462" i="1"/>
  <c r="AJ462" i="1"/>
  <c r="AI462" i="1"/>
  <c r="AC462" i="1"/>
  <c r="AA462" i="1"/>
  <c r="J462" i="1"/>
  <c r="AK461" i="1"/>
  <c r="AJ461" i="1"/>
  <c r="AI461" i="1"/>
  <c r="AC461" i="1"/>
  <c r="AA461" i="1"/>
  <c r="J461" i="1"/>
  <c r="AK460" i="1"/>
  <c r="AJ460" i="1"/>
  <c r="AI460" i="1"/>
  <c r="AC460" i="1"/>
  <c r="AA460" i="1"/>
  <c r="J460" i="1"/>
  <c r="AK459" i="1"/>
  <c r="AJ459" i="1"/>
  <c r="AI459" i="1"/>
  <c r="AC459" i="1"/>
  <c r="AA459" i="1"/>
  <c r="J459" i="1"/>
  <c r="AK458" i="1"/>
  <c r="AJ458" i="1"/>
  <c r="AI458" i="1"/>
  <c r="AC458" i="1"/>
  <c r="AA458" i="1"/>
  <c r="J458" i="1"/>
  <c r="AK457" i="1"/>
  <c r="AJ457" i="1"/>
  <c r="AI457" i="1"/>
  <c r="AC457" i="1"/>
  <c r="AA457" i="1"/>
  <c r="J457" i="1"/>
  <c r="AK456" i="1"/>
  <c r="AJ456" i="1"/>
  <c r="AI456" i="1"/>
  <c r="AC456" i="1"/>
  <c r="AA456" i="1"/>
  <c r="J456" i="1"/>
  <c r="AK455" i="1"/>
  <c r="AJ455" i="1"/>
  <c r="AI455" i="1"/>
  <c r="AC455" i="1"/>
  <c r="AA455" i="1"/>
  <c r="J455" i="1"/>
  <c r="AK454" i="1"/>
  <c r="AJ454" i="1"/>
  <c r="AI454" i="1"/>
  <c r="AC454" i="1"/>
  <c r="AA454" i="1"/>
  <c r="J454" i="1"/>
  <c r="AK453" i="1"/>
  <c r="AJ453" i="1"/>
  <c r="AI453" i="1"/>
  <c r="AC453" i="1"/>
  <c r="AA453" i="1"/>
  <c r="J453" i="1"/>
  <c r="AK452" i="1"/>
  <c r="AJ452" i="1"/>
  <c r="AI452" i="1"/>
  <c r="AC452" i="1"/>
  <c r="AA452" i="1"/>
  <c r="J452" i="1"/>
  <c r="AK451" i="1"/>
  <c r="AJ451" i="1"/>
  <c r="AI451" i="1"/>
  <c r="AC451" i="1"/>
  <c r="AA451" i="1"/>
  <c r="J451" i="1"/>
  <c r="AK450" i="1"/>
  <c r="AJ450" i="1"/>
  <c r="AI450" i="1"/>
  <c r="AC450" i="1"/>
  <c r="AA450" i="1"/>
  <c r="J450" i="1"/>
  <c r="AK449" i="1"/>
  <c r="AJ449" i="1"/>
  <c r="AI449" i="1"/>
  <c r="AC449" i="1"/>
  <c r="AA449" i="1"/>
  <c r="J449" i="1"/>
  <c r="AK448" i="1"/>
  <c r="AJ448" i="1"/>
  <c r="AI448" i="1"/>
  <c r="AC448" i="1"/>
  <c r="AA448" i="1"/>
  <c r="J448" i="1"/>
  <c r="AK447" i="1"/>
  <c r="AJ447" i="1"/>
  <c r="AI447" i="1"/>
  <c r="AC447" i="1"/>
  <c r="AA447" i="1"/>
  <c r="J447" i="1"/>
  <c r="AK446" i="1"/>
  <c r="AJ446" i="1"/>
  <c r="AI446" i="1"/>
  <c r="AC446" i="1"/>
  <c r="AA446" i="1"/>
  <c r="J446" i="1"/>
  <c r="AK445" i="1"/>
  <c r="AJ445" i="1"/>
  <c r="AI445" i="1"/>
  <c r="AC445" i="1"/>
  <c r="AA445" i="1"/>
  <c r="J445" i="1"/>
  <c r="AK444" i="1"/>
  <c r="AJ444" i="1"/>
  <c r="AI444" i="1"/>
  <c r="AC444" i="1"/>
  <c r="AA444" i="1"/>
  <c r="J444" i="1"/>
  <c r="AK443" i="1"/>
  <c r="AJ443" i="1"/>
  <c r="AI443" i="1"/>
  <c r="AC443" i="1"/>
  <c r="AA443" i="1"/>
  <c r="J443" i="1"/>
  <c r="AK442" i="1"/>
  <c r="AJ442" i="1"/>
  <c r="AI442" i="1"/>
  <c r="AC442" i="1"/>
  <c r="AA442" i="1"/>
  <c r="J442" i="1"/>
  <c r="AK441" i="1"/>
  <c r="AJ441" i="1"/>
  <c r="AI441" i="1"/>
  <c r="AC441" i="1"/>
  <c r="AA441" i="1"/>
  <c r="J441" i="1"/>
  <c r="AK440" i="1"/>
  <c r="AJ440" i="1"/>
  <c r="AI440" i="1"/>
  <c r="AC440" i="1"/>
  <c r="AA440" i="1"/>
  <c r="J440" i="1"/>
  <c r="AK439" i="1"/>
  <c r="AJ439" i="1"/>
  <c r="AI439" i="1"/>
  <c r="AC439" i="1"/>
  <c r="AA439" i="1"/>
  <c r="J439" i="1"/>
  <c r="AK438" i="1"/>
  <c r="AJ438" i="1"/>
  <c r="AI438" i="1"/>
  <c r="AC438" i="1"/>
  <c r="AA438" i="1"/>
  <c r="J438" i="1"/>
  <c r="AK437" i="1"/>
  <c r="AJ437" i="1"/>
  <c r="AI437" i="1"/>
  <c r="AC437" i="1"/>
  <c r="AA437" i="1"/>
  <c r="J437" i="1"/>
  <c r="AK436" i="1"/>
  <c r="AJ436" i="1"/>
  <c r="AI436" i="1"/>
  <c r="AC436" i="1"/>
  <c r="AA436" i="1"/>
  <c r="J436" i="1"/>
  <c r="AK435" i="1"/>
  <c r="AJ435" i="1"/>
  <c r="AI435" i="1"/>
  <c r="AC435" i="1"/>
  <c r="AA435" i="1"/>
  <c r="J435" i="1"/>
  <c r="AK434" i="1"/>
  <c r="AJ434" i="1"/>
  <c r="AI434" i="1"/>
  <c r="AC434" i="1"/>
  <c r="AA434" i="1"/>
  <c r="J434" i="1"/>
  <c r="AK433" i="1"/>
  <c r="AJ433" i="1"/>
  <c r="AI433" i="1"/>
  <c r="AC433" i="1"/>
  <c r="AA433" i="1"/>
  <c r="J433" i="1"/>
  <c r="AK432" i="1"/>
  <c r="AJ432" i="1"/>
  <c r="AI432" i="1"/>
  <c r="AC432" i="1"/>
  <c r="AA432" i="1"/>
  <c r="J432" i="1"/>
  <c r="AK431" i="1"/>
  <c r="AJ431" i="1"/>
  <c r="AI431" i="1"/>
  <c r="AC431" i="1"/>
  <c r="AA431" i="1"/>
  <c r="J431" i="1"/>
  <c r="AK430" i="1"/>
  <c r="AJ430" i="1"/>
  <c r="AI430" i="1"/>
  <c r="AC430" i="1"/>
  <c r="AA430" i="1"/>
  <c r="J430" i="1"/>
  <c r="AK429" i="1"/>
  <c r="AJ429" i="1"/>
  <c r="AI429" i="1"/>
  <c r="AC429" i="1"/>
  <c r="AA429" i="1"/>
  <c r="J429" i="1"/>
  <c r="AK428" i="1"/>
  <c r="AJ428" i="1"/>
  <c r="AI428" i="1"/>
  <c r="AC428" i="1"/>
  <c r="AA428" i="1"/>
  <c r="J428" i="1"/>
  <c r="AK427" i="1"/>
  <c r="AJ427" i="1"/>
  <c r="AI427" i="1"/>
  <c r="AC427" i="1"/>
  <c r="AA427" i="1"/>
  <c r="J427" i="1"/>
  <c r="AK426" i="1"/>
  <c r="AJ426" i="1"/>
  <c r="AI426" i="1"/>
  <c r="AA426" i="1"/>
  <c r="J426" i="1"/>
  <c r="AK425" i="1"/>
  <c r="AJ425" i="1"/>
  <c r="AI425" i="1"/>
  <c r="AC425" i="1"/>
  <c r="AA425" i="1"/>
  <c r="J425" i="1"/>
  <c r="AK424" i="1"/>
  <c r="AJ424" i="1"/>
  <c r="AI424" i="1"/>
  <c r="AC424" i="1"/>
  <c r="AA424" i="1"/>
  <c r="J424" i="1"/>
  <c r="AK423" i="1"/>
  <c r="AJ423" i="1"/>
  <c r="AI423" i="1"/>
  <c r="AC423" i="1"/>
  <c r="AA423" i="1"/>
  <c r="J423" i="1"/>
  <c r="AK422" i="1"/>
  <c r="AJ422" i="1"/>
  <c r="AI422" i="1"/>
  <c r="AC422" i="1"/>
  <c r="AA422" i="1"/>
  <c r="J422" i="1"/>
  <c r="AK421" i="1"/>
  <c r="AJ421" i="1"/>
  <c r="AI421" i="1"/>
  <c r="AC421" i="1"/>
  <c r="AA421" i="1"/>
  <c r="J421" i="1"/>
  <c r="AK420" i="1"/>
  <c r="AJ420" i="1"/>
  <c r="AI420" i="1"/>
  <c r="AC420" i="1"/>
  <c r="AA420" i="1"/>
  <c r="J420" i="1"/>
  <c r="AK419" i="1"/>
  <c r="AJ419" i="1"/>
  <c r="AI419" i="1"/>
  <c r="AC419" i="1"/>
  <c r="AA419" i="1"/>
  <c r="J419" i="1"/>
  <c r="AK418" i="1"/>
  <c r="AJ418" i="1"/>
  <c r="AI418" i="1"/>
  <c r="AC418" i="1"/>
  <c r="AA418" i="1"/>
  <c r="J418" i="1"/>
  <c r="AK417" i="1"/>
  <c r="AJ417" i="1"/>
  <c r="AI417" i="1"/>
  <c r="AC417" i="1"/>
  <c r="AA417" i="1"/>
  <c r="J417" i="1"/>
  <c r="AK416" i="1"/>
  <c r="AJ416" i="1"/>
  <c r="AI416" i="1"/>
  <c r="AC416" i="1"/>
  <c r="AA416" i="1"/>
  <c r="J416" i="1"/>
  <c r="AK415" i="1"/>
  <c r="AJ415" i="1"/>
  <c r="AI415" i="1"/>
  <c r="AC415" i="1"/>
  <c r="AA415" i="1"/>
  <c r="J415" i="1"/>
  <c r="AK414" i="1"/>
  <c r="AJ414" i="1"/>
  <c r="AI414" i="1"/>
  <c r="AC414" i="1"/>
  <c r="AA414" i="1"/>
  <c r="J414" i="1"/>
  <c r="AK413" i="1"/>
  <c r="AJ413" i="1"/>
  <c r="AI413" i="1"/>
  <c r="AC413" i="1"/>
  <c r="AA413" i="1"/>
  <c r="J413" i="1"/>
  <c r="AK412" i="1"/>
  <c r="AJ412" i="1"/>
  <c r="AI412" i="1"/>
  <c r="AC412" i="1"/>
  <c r="AA412" i="1"/>
  <c r="J412" i="1"/>
  <c r="AK411" i="1"/>
  <c r="AJ411" i="1"/>
  <c r="AI411" i="1"/>
  <c r="AC411" i="1"/>
  <c r="AA411" i="1"/>
  <c r="J411" i="1"/>
  <c r="AK410" i="1"/>
  <c r="AJ410" i="1"/>
  <c r="AI410" i="1"/>
  <c r="AC410" i="1"/>
  <c r="AA410" i="1"/>
  <c r="J410" i="1"/>
  <c r="AK409" i="1"/>
  <c r="AJ409" i="1"/>
  <c r="AI409" i="1"/>
  <c r="AC409" i="1"/>
  <c r="AA409" i="1"/>
  <c r="J409" i="1"/>
  <c r="AK408" i="1"/>
  <c r="AJ408" i="1"/>
  <c r="AI408" i="1"/>
  <c r="AC408" i="1"/>
  <c r="AA408" i="1"/>
  <c r="J408" i="1"/>
  <c r="AK407" i="1"/>
  <c r="AJ407" i="1"/>
  <c r="AI407" i="1"/>
  <c r="AC407" i="1"/>
  <c r="AA407" i="1"/>
  <c r="J407" i="1"/>
  <c r="AK406" i="1"/>
  <c r="AJ406" i="1"/>
  <c r="AI406" i="1"/>
  <c r="AC406" i="1"/>
  <c r="AA406" i="1"/>
  <c r="J406" i="1"/>
  <c r="AK405" i="1"/>
  <c r="AJ405" i="1"/>
  <c r="AI405" i="1"/>
  <c r="AC405" i="1"/>
  <c r="AA405" i="1"/>
  <c r="J405" i="1"/>
  <c r="AK404" i="1"/>
  <c r="AJ404" i="1"/>
  <c r="AI404" i="1"/>
  <c r="AC404" i="1"/>
  <c r="AA404" i="1"/>
  <c r="J404" i="1"/>
  <c r="AK403" i="1"/>
  <c r="AJ403" i="1"/>
  <c r="AI403" i="1"/>
  <c r="AC403" i="1"/>
  <c r="AA403" i="1"/>
  <c r="J403" i="1"/>
  <c r="AK402" i="1"/>
  <c r="AJ402" i="1"/>
  <c r="AI402" i="1"/>
  <c r="AC402" i="1"/>
  <c r="AA402" i="1"/>
  <c r="J402" i="1"/>
  <c r="AK401" i="1"/>
  <c r="AJ401" i="1"/>
  <c r="AI401" i="1"/>
  <c r="AC401" i="1"/>
  <c r="AA401" i="1"/>
  <c r="J401" i="1"/>
  <c r="AK400" i="1"/>
  <c r="AJ400" i="1"/>
  <c r="AI400" i="1"/>
  <c r="AC400" i="1"/>
  <c r="AA400" i="1"/>
  <c r="J400" i="1"/>
  <c r="AK399" i="1"/>
  <c r="AJ399" i="1"/>
  <c r="AI399" i="1"/>
  <c r="AC399" i="1"/>
  <c r="AA399" i="1"/>
  <c r="J399" i="1"/>
  <c r="AK398" i="1"/>
  <c r="AJ398" i="1"/>
  <c r="AI398" i="1"/>
  <c r="AC398" i="1"/>
  <c r="AA398" i="1"/>
  <c r="J398" i="1"/>
  <c r="AK397" i="1"/>
  <c r="AJ397" i="1"/>
  <c r="AI397" i="1"/>
  <c r="AC397" i="1"/>
  <c r="AA397" i="1"/>
  <c r="J397" i="1"/>
  <c r="AK396" i="1"/>
  <c r="AJ396" i="1"/>
  <c r="AI396" i="1"/>
  <c r="AA396" i="1"/>
  <c r="J396" i="1"/>
  <c r="AK395" i="1"/>
  <c r="AJ395" i="1"/>
  <c r="AI395" i="1"/>
  <c r="AC395" i="1"/>
  <c r="AA395" i="1"/>
  <c r="J395" i="1"/>
  <c r="AK394" i="1"/>
  <c r="AJ394" i="1"/>
  <c r="AI394" i="1"/>
  <c r="AC394" i="1"/>
  <c r="AA394" i="1"/>
  <c r="J394" i="1"/>
  <c r="AK393" i="1"/>
  <c r="AJ393" i="1"/>
  <c r="AI393" i="1"/>
  <c r="AC393" i="1"/>
  <c r="AA393" i="1"/>
  <c r="J393" i="1"/>
  <c r="AK392" i="1"/>
  <c r="AJ392" i="1"/>
  <c r="AI392" i="1"/>
  <c r="AC392" i="1"/>
  <c r="AA392" i="1"/>
  <c r="J392" i="1"/>
  <c r="AK391" i="1"/>
  <c r="AJ391" i="1"/>
  <c r="AI391" i="1"/>
  <c r="AC391" i="1"/>
  <c r="AA391" i="1"/>
  <c r="J391" i="1"/>
  <c r="AK390" i="1"/>
  <c r="AJ390" i="1"/>
  <c r="AI390" i="1"/>
  <c r="AC390" i="1"/>
  <c r="AA390" i="1"/>
  <c r="J390" i="1"/>
  <c r="AK389" i="1"/>
  <c r="AJ389" i="1"/>
  <c r="AI389" i="1"/>
  <c r="AC389" i="1"/>
  <c r="AA389" i="1"/>
  <c r="J389" i="1"/>
  <c r="AK388" i="1"/>
  <c r="AJ388" i="1"/>
  <c r="AI388" i="1"/>
  <c r="AC388" i="1"/>
  <c r="AA388" i="1"/>
  <c r="J388" i="1"/>
  <c r="AK387" i="1"/>
  <c r="AJ387" i="1"/>
  <c r="AI387" i="1"/>
  <c r="AC387" i="1"/>
  <c r="AA387" i="1"/>
  <c r="J387" i="1"/>
  <c r="AK386" i="1"/>
  <c r="AJ386" i="1"/>
  <c r="AI386" i="1"/>
  <c r="AC386" i="1"/>
  <c r="AA386" i="1"/>
  <c r="J386" i="1"/>
  <c r="AK385" i="1"/>
  <c r="AJ385" i="1"/>
  <c r="AI385" i="1"/>
  <c r="AA385" i="1"/>
  <c r="J385" i="1"/>
  <c r="AK384" i="1"/>
  <c r="AJ384" i="1"/>
  <c r="AI384" i="1"/>
  <c r="AC384" i="1"/>
  <c r="AA384" i="1"/>
  <c r="J384" i="1"/>
  <c r="AK383" i="1"/>
  <c r="AJ383" i="1"/>
  <c r="AI383" i="1"/>
  <c r="AC383" i="1"/>
  <c r="AA383" i="1"/>
  <c r="J383" i="1"/>
  <c r="AK382" i="1"/>
  <c r="AJ382" i="1"/>
  <c r="AI382" i="1"/>
  <c r="AC382" i="1"/>
  <c r="AA382" i="1"/>
  <c r="J382" i="1"/>
  <c r="AK381" i="1"/>
  <c r="AJ381" i="1"/>
  <c r="AI381" i="1"/>
  <c r="AC381" i="1"/>
  <c r="AA381" i="1"/>
  <c r="J381" i="1"/>
  <c r="AK380" i="1"/>
  <c r="AJ380" i="1"/>
  <c r="AI380" i="1"/>
  <c r="AC380" i="1"/>
  <c r="AA380" i="1"/>
  <c r="J380" i="1"/>
  <c r="AK379" i="1"/>
  <c r="AJ379" i="1"/>
  <c r="AI379" i="1"/>
  <c r="AA379" i="1"/>
  <c r="J379" i="1"/>
  <c r="AK378" i="1"/>
  <c r="AJ378" i="1"/>
  <c r="AI378" i="1"/>
  <c r="AC378" i="1"/>
  <c r="AA378" i="1"/>
  <c r="J378" i="1"/>
  <c r="AK377" i="1"/>
  <c r="AJ377" i="1"/>
  <c r="AI377" i="1"/>
  <c r="AC377" i="1"/>
  <c r="AA377" i="1"/>
  <c r="J377" i="1"/>
  <c r="AK376" i="1"/>
  <c r="AJ376" i="1"/>
  <c r="AI376" i="1"/>
  <c r="AC376" i="1"/>
  <c r="AA376" i="1"/>
  <c r="J376" i="1"/>
  <c r="AK375" i="1"/>
  <c r="AJ375" i="1"/>
  <c r="AI375" i="1"/>
  <c r="AC375" i="1"/>
  <c r="AA375" i="1"/>
  <c r="J375" i="1"/>
  <c r="AK374" i="1"/>
  <c r="AJ374" i="1"/>
  <c r="AI374" i="1"/>
  <c r="AC374" i="1"/>
  <c r="AA374" i="1"/>
  <c r="J374" i="1"/>
  <c r="AK373" i="1"/>
  <c r="AJ373" i="1"/>
  <c r="AI373" i="1"/>
  <c r="AC373" i="1"/>
  <c r="AA373" i="1"/>
  <c r="J373" i="1"/>
  <c r="AK372" i="1"/>
  <c r="AJ372" i="1"/>
  <c r="AI372" i="1"/>
  <c r="AC372" i="1"/>
  <c r="AA372" i="1"/>
  <c r="J372" i="1"/>
  <c r="AK371" i="1"/>
  <c r="AJ371" i="1"/>
  <c r="AI371" i="1"/>
  <c r="AC371" i="1"/>
  <c r="AA371" i="1"/>
  <c r="J371" i="1"/>
  <c r="AK370" i="1"/>
  <c r="AJ370" i="1"/>
  <c r="AI370" i="1"/>
  <c r="AC370" i="1"/>
  <c r="AA370" i="1"/>
  <c r="J370" i="1"/>
  <c r="AK369" i="1"/>
  <c r="AJ369" i="1"/>
  <c r="AI369" i="1"/>
  <c r="AC369" i="1"/>
  <c r="AA369" i="1"/>
  <c r="J369" i="1"/>
  <c r="AK368" i="1"/>
  <c r="AJ368" i="1"/>
  <c r="AI368" i="1"/>
  <c r="AC368" i="1"/>
  <c r="AA368" i="1"/>
  <c r="J368" i="1"/>
  <c r="AK367" i="1"/>
  <c r="AJ367" i="1"/>
  <c r="AI367" i="1"/>
  <c r="AC367" i="1"/>
  <c r="AA367" i="1"/>
  <c r="J367" i="1"/>
  <c r="AK366" i="1"/>
  <c r="AJ366" i="1"/>
  <c r="AI366" i="1"/>
  <c r="AA366" i="1"/>
  <c r="J366" i="1"/>
  <c r="AK365" i="1"/>
  <c r="AJ365" i="1"/>
  <c r="AI365" i="1"/>
  <c r="AC365" i="1"/>
  <c r="AA365" i="1"/>
  <c r="J365" i="1"/>
  <c r="AK364" i="1"/>
  <c r="AJ364" i="1"/>
  <c r="AI364" i="1"/>
  <c r="AC364" i="1"/>
  <c r="AA364" i="1"/>
  <c r="J364" i="1"/>
  <c r="AK363" i="1"/>
  <c r="AJ363" i="1"/>
  <c r="AI363" i="1"/>
  <c r="AC363" i="1"/>
  <c r="AA363" i="1"/>
  <c r="J363" i="1"/>
  <c r="AK362" i="1"/>
  <c r="AJ362" i="1"/>
  <c r="AI362" i="1"/>
  <c r="AC362" i="1"/>
  <c r="AA362" i="1"/>
  <c r="J362" i="1"/>
  <c r="AK361" i="1"/>
  <c r="AJ361" i="1"/>
  <c r="AI361" i="1"/>
  <c r="AC361" i="1"/>
  <c r="AA361" i="1"/>
  <c r="J361" i="1"/>
  <c r="AK360" i="1"/>
  <c r="AJ360" i="1"/>
  <c r="AI360" i="1"/>
  <c r="AC360" i="1"/>
  <c r="AA360" i="1"/>
  <c r="J360" i="1"/>
  <c r="AK359" i="1"/>
  <c r="AJ359" i="1"/>
  <c r="AI359" i="1"/>
  <c r="AC359" i="1"/>
  <c r="AA359" i="1"/>
  <c r="J359" i="1"/>
  <c r="AK358" i="1"/>
  <c r="AJ358" i="1"/>
  <c r="AI358" i="1"/>
  <c r="AC358" i="1"/>
  <c r="AA358" i="1"/>
  <c r="J358" i="1"/>
  <c r="AK357" i="1"/>
  <c r="AJ357" i="1"/>
  <c r="AI357" i="1"/>
  <c r="AC357" i="1"/>
  <c r="AA357" i="1"/>
  <c r="J357" i="1"/>
  <c r="AK356" i="1"/>
  <c r="AJ356" i="1"/>
  <c r="AI356" i="1"/>
  <c r="AC356" i="1"/>
  <c r="AA356" i="1"/>
  <c r="J356" i="1"/>
  <c r="AK355" i="1"/>
  <c r="AJ355" i="1"/>
  <c r="AI355" i="1"/>
  <c r="AC355" i="1"/>
  <c r="AA355" i="1"/>
  <c r="J355" i="1"/>
  <c r="AK354" i="1"/>
  <c r="AJ354" i="1"/>
  <c r="AI354" i="1"/>
  <c r="AC354" i="1"/>
  <c r="AA354" i="1"/>
  <c r="J354" i="1"/>
  <c r="AK353" i="1"/>
  <c r="AJ353" i="1"/>
  <c r="AI353" i="1"/>
  <c r="AC353" i="1"/>
  <c r="AA353" i="1"/>
  <c r="J353" i="1"/>
  <c r="AK352" i="1"/>
  <c r="AJ352" i="1"/>
  <c r="AI352" i="1"/>
  <c r="AC352" i="1"/>
  <c r="AA352" i="1"/>
  <c r="J352" i="1"/>
  <c r="AK351" i="1"/>
  <c r="AJ351" i="1"/>
  <c r="AI351" i="1"/>
  <c r="AC351" i="1"/>
  <c r="AA351" i="1"/>
  <c r="J351" i="1"/>
  <c r="AK350" i="1"/>
  <c r="AJ350" i="1"/>
  <c r="AI350" i="1"/>
  <c r="AC350" i="1"/>
  <c r="AA350" i="1"/>
  <c r="J350" i="1"/>
  <c r="AK349" i="1"/>
  <c r="AJ349" i="1"/>
  <c r="AI349" i="1"/>
  <c r="AC349" i="1"/>
  <c r="AA349" i="1"/>
  <c r="J349" i="1"/>
  <c r="AK348" i="1"/>
  <c r="AJ348" i="1"/>
  <c r="AI348" i="1"/>
  <c r="AC348" i="1"/>
  <c r="AA348" i="1"/>
  <c r="J348" i="1"/>
  <c r="AK347" i="1"/>
  <c r="AJ347" i="1"/>
  <c r="AI347" i="1"/>
  <c r="AC347" i="1"/>
  <c r="AA347" i="1"/>
  <c r="J347" i="1"/>
  <c r="AK346" i="1"/>
  <c r="AJ346" i="1"/>
  <c r="AI346" i="1"/>
  <c r="AC346" i="1"/>
  <c r="AA346" i="1"/>
  <c r="J346" i="1"/>
  <c r="AK345" i="1"/>
  <c r="AJ345" i="1"/>
  <c r="AI345" i="1"/>
  <c r="AC345" i="1"/>
  <c r="AA345" i="1"/>
  <c r="J345" i="1"/>
  <c r="AK344" i="1"/>
  <c r="AJ344" i="1"/>
  <c r="AI344" i="1"/>
  <c r="AC344" i="1"/>
  <c r="AA344" i="1"/>
  <c r="J344" i="1"/>
  <c r="AK343" i="1"/>
  <c r="AJ343" i="1"/>
  <c r="AI343" i="1"/>
  <c r="AC343" i="1"/>
  <c r="AA343" i="1"/>
  <c r="J343" i="1"/>
  <c r="AK342" i="1"/>
  <c r="AJ342" i="1"/>
  <c r="AI342" i="1"/>
  <c r="AC342" i="1"/>
  <c r="AA342" i="1"/>
  <c r="J342" i="1"/>
  <c r="AK341" i="1"/>
  <c r="AJ341" i="1"/>
  <c r="AI341" i="1"/>
  <c r="AC341" i="1"/>
  <c r="AA341" i="1"/>
  <c r="J341" i="1"/>
  <c r="AK340" i="1"/>
  <c r="AJ340" i="1"/>
  <c r="AI340" i="1"/>
  <c r="AC340" i="1"/>
  <c r="AA340" i="1"/>
  <c r="J340" i="1"/>
  <c r="AK339" i="1"/>
  <c r="AJ339" i="1"/>
  <c r="AI339" i="1"/>
  <c r="AC339" i="1"/>
  <c r="AA339" i="1"/>
  <c r="J339" i="1"/>
  <c r="AK338" i="1"/>
  <c r="AJ338" i="1"/>
  <c r="AI338" i="1"/>
  <c r="AC338" i="1"/>
  <c r="AA338" i="1"/>
  <c r="J338" i="1"/>
  <c r="AK337" i="1"/>
  <c r="AJ337" i="1"/>
  <c r="AI337" i="1"/>
  <c r="AC337" i="1"/>
  <c r="AA337" i="1"/>
  <c r="J337" i="1"/>
  <c r="AK336" i="1"/>
  <c r="AJ336" i="1"/>
  <c r="AI336" i="1"/>
  <c r="AC336" i="1"/>
  <c r="AA336" i="1"/>
  <c r="J336" i="1"/>
  <c r="AK335" i="1"/>
  <c r="AJ335" i="1"/>
  <c r="AI335" i="1"/>
  <c r="AC335" i="1"/>
  <c r="AA335" i="1"/>
  <c r="J335" i="1"/>
  <c r="AK334" i="1"/>
  <c r="AJ334" i="1"/>
  <c r="AI334" i="1"/>
  <c r="AC334" i="1"/>
  <c r="AA334" i="1"/>
  <c r="J334" i="1"/>
  <c r="AK333" i="1"/>
  <c r="AJ333" i="1"/>
  <c r="AI333" i="1"/>
  <c r="AC333" i="1"/>
  <c r="AA333" i="1"/>
  <c r="J333" i="1"/>
  <c r="AK332" i="1"/>
  <c r="AJ332" i="1"/>
  <c r="AI332" i="1"/>
  <c r="AC332" i="1"/>
  <c r="AA332" i="1"/>
  <c r="J332" i="1"/>
  <c r="AK331" i="1"/>
  <c r="AJ331" i="1"/>
  <c r="AI331" i="1"/>
  <c r="AC331" i="1"/>
  <c r="AA331" i="1"/>
  <c r="J331" i="1"/>
  <c r="AK330" i="1"/>
  <c r="AJ330" i="1"/>
  <c r="AI330" i="1"/>
  <c r="AC330" i="1"/>
  <c r="AA330" i="1"/>
  <c r="J330" i="1"/>
  <c r="AK329" i="1"/>
  <c r="AJ329" i="1"/>
  <c r="AI329" i="1"/>
  <c r="AC329" i="1"/>
  <c r="AA329" i="1"/>
  <c r="J329" i="1"/>
  <c r="AK328" i="1"/>
  <c r="AJ328" i="1"/>
  <c r="AI328" i="1"/>
  <c r="AC328" i="1"/>
  <c r="AA328" i="1"/>
  <c r="J328" i="1"/>
  <c r="AK327" i="1"/>
  <c r="AJ327" i="1"/>
  <c r="AI327" i="1"/>
  <c r="AC327" i="1"/>
  <c r="AA327" i="1"/>
  <c r="J327" i="1"/>
  <c r="AK326" i="1"/>
  <c r="AJ326" i="1"/>
  <c r="AI326" i="1"/>
  <c r="AC326" i="1"/>
  <c r="AA326" i="1"/>
  <c r="J326" i="1"/>
  <c r="AK325" i="1"/>
  <c r="AJ325" i="1"/>
  <c r="AI325" i="1"/>
  <c r="AC325" i="1"/>
  <c r="AA325" i="1"/>
  <c r="J325" i="1"/>
  <c r="AK324" i="1"/>
  <c r="AJ324" i="1"/>
  <c r="AI324" i="1"/>
  <c r="AC324" i="1"/>
  <c r="AA324" i="1"/>
  <c r="J324" i="1"/>
  <c r="AK323" i="1"/>
  <c r="AJ323" i="1"/>
  <c r="AI323" i="1"/>
  <c r="AC323" i="1"/>
  <c r="AA323" i="1"/>
  <c r="J323" i="1"/>
  <c r="AK322" i="1"/>
  <c r="AJ322" i="1"/>
  <c r="AI322" i="1"/>
  <c r="AC322" i="1"/>
  <c r="AA322" i="1"/>
  <c r="J322" i="1"/>
  <c r="AK321" i="1"/>
  <c r="AJ321" i="1"/>
  <c r="AI321" i="1"/>
  <c r="AC321" i="1"/>
  <c r="AA321" i="1"/>
  <c r="J321" i="1"/>
  <c r="AK320" i="1"/>
  <c r="AJ320" i="1"/>
  <c r="AI320" i="1"/>
  <c r="AC320" i="1"/>
  <c r="AA320" i="1"/>
  <c r="J320" i="1"/>
  <c r="AK319" i="1"/>
  <c r="AJ319" i="1"/>
  <c r="AI319" i="1"/>
  <c r="AC319" i="1"/>
  <c r="AA319" i="1"/>
  <c r="J319" i="1"/>
  <c r="AK318" i="1"/>
  <c r="AJ318" i="1"/>
  <c r="AI318" i="1"/>
  <c r="AC318" i="1"/>
  <c r="AA318" i="1"/>
  <c r="J318" i="1"/>
  <c r="AK317" i="1"/>
  <c r="AJ317" i="1"/>
  <c r="AI317" i="1"/>
  <c r="AC317" i="1"/>
  <c r="AA317" i="1"/>
  <c r="J317" i="1"/>
  <c r="AK316" i="1"/>
  <c r="AJ316" i="1"/>
  <c r="AI316" i="1"/>
  <c r="AC316" i="1"/>
  <c r="AA316" i="1"/>
  <c r="J316" i="1"/>
  <c r="AK315" i="1"/>
  <c r="AJ315" i="1"/>
  <c r="AI315" i="1"/>
  <c r="AC315" i="1"/>
  <c r="AA315" i="1"/>
  <c r="J315" i="1"/>
  <c r="AK314" i="1"/>
  <c r="AJ314" i="1"/>
  <c r="AI314" i="1"/>
  <c r="AC314" i="1"/>
  <c r="AA314" i="1"/>
  <c r="J314" i="1"/>
  <c r="AK313" i="1"/>
  <c r="AJ313" i="1"/>
  <c r="AI313" i="1"/>
  <c r="AC313" i="1"/>
  <c r="AA313" i="1"/>
  <c r="J313" i="1"/>
  <c r="AK312" i="1"/>
  <c r="AJ312" i="1"/>
  <c r="AI312" i="1"/>
  <c r="AC312" i="1"/>
  <c r="AA312" i="1"/>
  <c r="J312" i="1"/>
  <c r="AK311" i="1"/>
  <c r="AJ311" i="1"/>
  <c r="AI311" i="1"/>
  <c r="AC311" i="1"/>
  <c r="AA311" i="1"/>
  <c r="J311" i="1"/>
  <c r="AK310" i="1"/>
  <c r="AJ310" i="1"/>
  <c r="AI310" i="1"/>
  <c r="AC310" i="1"/>
  <c r="AA310" i="1"/>
  <c r="J310" i="1"/>
  <c r="AK309" i="1"/>
  <c r="AJ309" i="1"/>
  <c r="AI309" i="1"/>
  <c r="AC309" i="1"/>
  <c r="AA309" i="1"/>
  <c r="J309" i="1"/>
  <c r="AK308" i="1"/>
  <c r="AJ308" i="1"/>
  <c r="AI308" i="1"/>
  <c r="AC308" i="1"/>
  <c r="AA308" i="1"/>
  <c r="J308" i="1"/>
  <c r="AK307" i="1"/>
  <c r="AJ307" i="1"/>
  <c r="AI307" i="1"/>
  <c r="AC307" i="1"/>
  <c r="AA307" i="1"/>
  <c r="J307" i="1"/>
  <c r="AK306" i="1"/>
  <c r="AJ306" i="1"/>
  <c r="AI306" i="1"/>
  <c r="AC306" i="1"/>
  <c r="AA306" i="1"/>
  <c r="J306" i="1"/>
  <c r="AK305" i="1"/>
  <c r="AJ305" i="1"/>
  <c r="AI305" i="1"/>
  <c r="AC305" i="1"/>
  <c r="AA305" i="1"/>
  <c r="J305" i="1"/>
  <c r="AK304" i="1"/>
  <c r="AJ304" i="1"/>
  <c r="AI304" i="1"/>
  <c r="AC304" i="1"/>
  <c r="AA304" i="1"/>
  <c r="J304" i="1"/>
  <c r="AK303" i="1"/>
  <c r="AJ303" i="1"/>
  <c r="AI303" i="1"/>
  <c r="AC303" i="1"/>
  <c r="AA303" i="1"/>
  <c r="J303" i="1"/>
  <c r="AK302" i="1"/>
  <c r="AJ302" i="1"/>
  <c r="AI302" i="1"/>
  <c r="AC302" i="1"/>
  <c r="AA302" i="1"/>
  <c r="J302" i="1"/>
  <c r="AK301" i="1"/>
  <c r="AJ301" i="1"/>
  <c r="AI301" i="1"/>
  <c r="AC301" i="1"/>
  <c r="AA301" i="1"/>
  <c r="J301" i="1"/>
  <c r="AK300" i="1"/>
  <c r="AJ300" i="1"/>
  <c r="AI300" i="1"/>
  <c r="AC300" i="1"/>
  <c r="AA300" i="1"/>
  <c r="J300" i="1"/>
  <c r="AK299" i="1"/>
  <c r="AJ299" i="1"/>
  <c r="AI299" i="1"/>
  <c r="AC299" i="1"/>
  <c r="AA299" i="1"/>
  <c r="J299" i="1"/>
  <c r="AK298" i="1"/>
  <c r="AJ298" i="1"/>
  <c r="AI298" i="1"/>
  <c r="AC298" i="1"/>
  <c r="AA298" i="1"/>
  <c r="J298" i="1"/>
  <c r="AK297" i="1"/>
  <c r="AJ297" i="1"/>
  <c r="AI297" i="1"/>
  <c r="AC297" i="1"/>
  <c r="AA297" i="1"/>
  <c r="J297" i="1"/>
  <c r="AK296" i="1"/>
  <c r="AJ296" i="1"/>
  <c r="AI296" i="1"/>
  <c r="AC296" i="1"/>
  <c r="AA296" i="1"/>
  <c r="J296" i="1"/>
  <c r="AK295" i="1"/>
  <c r="AJ295" i="1"/>
  <c r="AI295" i="1"/>
  <c r="AC295" i="1"/>
  <c r="AA295" i="1"/>
  <c r="J295" i="1"/>
  <c r="AK294" i="1"/>
  <c r="AJ294" i="1"/>
  <c r="AI294" i="1"/>
  <c r="AC294" i="1"/>
  <c r="AA294" i="1"/>
  <c r="J294" i="1"/>
  <c r="AK293" i="1"/>
  <c r="AJ293" i="1"/>
  <c r="AI293" i="1"/>
  <c r="AC293" i="1"/>
  <c r="AA293" i="1"/>
  <c r="J293" i="1"/>
  <c r="AK292" i="1"/>
  <c r="AJ292" i="1"/>
  <c r="AI292" i="1"/>
  <c r="AC292" i="1"/>
  <c r="AA292" i="1"/>
  <c r="J292" i="1"/>
  <c r="AK291" i="1"/>
  <c r="AJ291" i="1"/>
  <c r="AI291" i="1"/>
  <c r="AA291" i="1"/>
  <c r="J291" i="1"/>
  <c r="AK290" i="1"/>
  <c r="AJ290" i="1"/>
  <c r="AI290" i="1"/>
  <c r="AC290" i="1"/>
  <c r="AA290" i="1"/>
  <c r="J290" i="1"/>
  <c r="AK289" i="1"/>
  <c r="AJ289" i="1"/>
  <c r="AI289" i="1"/>
  <c r="AC289" i="1"/>
  <c r="AA289" i="1"/>
  <c r="J289" i="1"/>
  <c r="AK288" i="1"/>
  <c r="AJ288" i="1"/>
  <c r="AI288" i="1"/>
  <c r="AC288" i="1"/>
  <c r="AA288" i="1"/>
  <c r="J288" i="1"/>
  <c r="AK287" i="1"/>
  <c r="AJ287" i="1"/>
  <c r="AI287" i="1"/>
  <c r="AC287" i="1"/>
  <c r="AA287" i="1"/>
  <c r="J287" i="1"/>
  <c r="AK286" i="1"/>
  <c r="AJ286" i="1"/>
  <c r="AI286" i="1"/>
  <c r="AC286" i="1"/>
  <c r="AA286" i="1"/>
  <c r="J286" i="1"/>
  <c r="AK285" i="1"/>
  <c r="AJ285" i="1"/>
  <c r="AI285" i="1"/>
  <c r="AC285" i="1"/>
  <c r="AA285" i="1"/>
  <c r="J285" i="1"/>
  <c r="AK284" i="1"/>
  <c r="AJ284" i="1"/>
  <c r="AI284" i="1"/>
  <c r="AC284" i="1"/>
  <c r="AA284" i="1"/>
  <c r="J284" i="1"/>
  <c r="AK283" i="1"/>
  <c r="AJ283" i="1"/>
  <c r="AI283" i="1"/>
  <c r="AC283" i="1"/>
  <c r="AA283" i="1"/>
  <c r="J283" i="1"/>
  <c r="AK282" i="1"/>
  <c r="AJ282" i="1"/>
  <c r="AI282" i="1"/>
  <c r="AC282" i="1"/>
  <c r="AA282" i="1"/>
  <c r="J282" i="1"/>
  <c r="AK281" i="1"/>
  <c r="AJ281" i="1"/>
  <c r="AI281" i="1"/>
  <c r="AC281" i="1"/>
  <c r="AA281" i="1"/>
  <c r="J281" i="1"/>
  <c r="AK280" i="1"/>
  <c r="AJ280" i="1"/>
  <c r="AI280" i="1"/>
  <c r="AC280" i="1"/>
  <c r="AA280" i="1"/>
  <c r="J280" i="1"/>
  <c r="AK279" i="1"/>
  <c r="AJ279" i="1"/>
  <c r="AI279" i="1"/>
  <c r="AC279" i="1"/>
  <c r="AA279" i="1"/>
  <c r="J279" i="1"/>
  <c r="AK278" i="1"/>
  <c r="AJ278" i="1"/>
  <c r="AI278" i="1"/>
  <c r="AA278" i="1"/>
  <c r="J278" i="1"/>
  <c r="AK277" i="1"/>
  <c r="AJ277" i="1"/>
  <c r="AI277" i="1"/>
  <c r="AC277" i="1"/>
  <c r="AA277" i="1"/>
  <c r="J277" i="1"/>
  <c r="AK276" i="1"/>
  <c r="AJ276" i="1"/>
  <c r="AI276" i="1"/>
  <c r="AC276" i="1"/>
  <c r="AA276" i="1"/>
  <c r="J276" i="1"/>
  <c r="AK275" i="1"/>
  <c r="AJ275" i="1"/>
  <c r="AI275" i="1"/>
  <c r="AC275" i="1"/>
  <c r="AA275" i="1"/>
  <c r="J275" i="1"/>
  <c r="AK274" i="1"/>
  <c r="AJ274" i="1"/>
  <c r="AI274" i="1"/>
  <c r="AC274" i="1"/>
  <c r="AA274" i="1"/>
  <c r="J274" i="1"/>
  <c r="AK273" i="1"/>
  <c r="AJ273" i="1"/>
  <c r="AI273" i="1"/>
  <c r="AC273" i="1"/>
  <c r="AA273" i="1"/>
  <c r="J273" i="1"/>
  <c r="AK272" i="1"/>
  <c r="AJ272" i="1"/>
  <c r="AI272" i="1"/>
  <c r="AC272" i="1"/>
  <c r="AA272" i="1"/>
  <c r="J272" i="1"/>
  <c r="AK271" i="1"/>
  <c r="AJ271" i="1"/>
  <c r="AI271" i="1"/>
  <c r="AC271" i="1"/>
  <c r="AA271" i="1"/>
  <c r="J271" i="1"/>
  <c r="AK270" i="1"/>
  <c r="AJ270" i="1"/>
  <c r="AI270" i="1"/>
  <c r="AC270" i="1"/>
  <c r="AA270" i="1"/>
  <c r="J270" i="1"/>
  <c r="AK269" i="1"/>
  <c r="AJ269" i="1"/>
  <c r="AI269" i="1"/>
  <c r="AC269" i="1"/>
  <c r="AA269" i="1"/>
  <c r="J269" i="1"/>
  <c r="AK268" i="1"/>
  <c r="AJ268" i="1"/>
  <c r="AI268" i="1"/>
  <c r="AC268" i="1"/>
  <c r="AA268" i="1"/>
  <c r="J268" i="1"/>
  <c r="AK267" i="1"/>
  <c r="AJ267" i="1"/>
  <c r="AI267" i="1"/>
  <c r="AC267" i="1"/>
  <c r="AA267" i="1"/>
  <c r="J267" i="1"/>
  <c r="AK266" i="1"/>
  <c r="AJ266" i="1"/>
  <c r="AI266" i="1"/>
  <c r="AC266" i="1"/>
  <c r="AA266" i="1"/>
  <c r="J266" i="1"/>
  <c r="AK265" i="1"/>
  <c r="AJ265" i="1"/>
  <c r="AI265" i="1"/>
  <c r="AC265" i="1"/>
  <c r="AA265" i="1"/>
  <c r="J265" i="1"/>
  <c r="AK264" i="1"/>
  <c r="AJ264" i="1"/>
  <c r="AI264" i="1"/>
  <c r="AC264" i="1"/>
  <c r="AA264" i="1"/>
  <c r="J264" i="1"/>
  <c r="AK263" i="1"/>
  <c r="AJ263" i="1"/>
  <c r="AI263" i="1"/>
  <c r="AC263" i="1"/>
  <c r="AA263" i="1"/>
  <c r="J263" i="1"/>
  <c r="AK262" i="1"/>
  <c r="AJ262" i="1"/>
  <c r="AI262" i="1"/>
  <c r="AC262" i="1"/>
  <c r="AA262" i="1"/>
  <c r="J262" i="1"/>
  <c r="AK261" i="1"/>
  <c r="AJ261" i="1"/>
  <c r="AI261" i="1"/>
  <c r="AC261" i="1"/>
  <c r="AA261" i="1"/>
  <c r="J261" i="1"/>
  <c r="AK260" i="1"/>
  <c r="AJ260" i="1"/>
  <c r="AI260" i="1"/>
  <c r="AC260" i="1"/>
  <c r="AA260" i="1"/>
  <c r="J260" i="1"/>
  <c r="AK259" i="1"/>
  <c r="AJ259" i="1"/>
  <c r="AI259" i="1"/>
  <c r="AC259" i="1"/>
  <c r="AA259" i="1"/>
  <c r="J259" i="1"/>
  <c r="AK258" i="1"/>
  <c r="AJ258" i="1"/>
  <c r="AI258" i="1"/>
  <c r="AC258" i="1"/>
  <c r="AA258" i="1"/>
  <c r="J258" i="1"/>
  <c r="AK257" i="1"/>
  <c r="AJ257" i="1"/>
  <c r="AI257" i="1"/>
  <c r="AC257" i="1"/>
  <c r="AA257" i="1"/>
  <c r="J257" i="1"/>
  <c r="AK256" i="1"/>
  <c r="AJ256" i="1"/>
  <c r="AI256" i="1"/>
  <c r="AC256" i="1"/>
  <c r="AA256" i="1"/>
  <c r="J256" i="1"/>
  <c r="AK255" i="1"/>
  <c r="AJ255" i="1"/>
  <c r="AI255" i="1"/>
  <c r="AC255" i="1"/>
  <c r="AA255" i="1"/>
  <c r="J255" i="1"/>
  <c r="AK254" i="1"/>
  <c r="AJ254" i="1"/>
  <c r="AI254" i="1"/>
  <c r="AC254" i="1"/>
  <c r="AA254" i="1"/>
  <c r="J254" i="1"/>
  <c r="AK253" i="1"/>
  <c r="AJ253" i="1"/>
  <c r="AI253" i="1"/>
  <c r="AC253" i="1"/>
  <c r="AA253" i="1"/>
  <c r="J253" i="1"/>
  <c r="AK252" i="1"/>
  <c r="AJ252" i="1"/>
  <c r="AI252" i="1"/>
  <c r="AC252" i="1"/>
  <c r="AA252" i="1"/>
  <c r="J252" i="1"/>
  <c r="AK251" i="1"/>
  <c r="AJ251" i="1"/>
  <c r="AI251" i="1"/>
  <c r="AC251" i="1"/>
  <c r="AA251" i="1"/>
  <c r="J251" i="1"/>
  <c r="AK250" i="1"/>
  <c r="AJ250" i="1"/>
  <c r="AI250" i="1"/>
  <c r="AC250" i="1"/>
  <c r="AA250" i="1"/>
  <c r="J250" i="1"/>
  <c r="AK249" i="1"/>
  <c r="AJ249" i="1"/>
  <c r="AI249" i="1"/>
  <c r="AC249" i="1"/>
  <c r="AA249" i="1"/>
  <c r="J249" i="1"/>
  <c r="AK248" i="1"/>
  <c r="AJ248" i="1"/>
  <c r="AI248" i="1"/>
  <c r="AC248" i="1"/>
  <c r="AA248" i="1"/>
  <c r="J248" i="1"/>
  <c r="AK247" i="1"/>
  <c r="AJ247" i="1"/>
  <c r="AI247" i="1"/>
  <c r="AC247" i="1"/>
  <c r="AA247" i="1"/>
  <c r="J247" i="1"/>
  <c r="AK246" i="1"/>
  <c r="AJ246" i="1"/>
  <c r="AI246" i="1"/>
  <c r="AC246" i="1"/>
  <c r="AA246" i="1"/>
  <c r="J246" i="1"/>
  <c r="AK245" i="1"/>
  <c r="AJ245" i="1"/>
  <c r="AI245" i="1"/>
  <c r="AC245" i="1"/>
  <c r="AA245" i="1"/>
  <c r="J245" i="1"/>
  <c r="AK244" i="1"/>
  <c r="AJ244" i="1"/>
  <c r="AI244" i="1"/>
  <c r="AC244" i="1"/>
  <c r="AA244" i="1"/>
  <c r="J244" i="1"/>
  <c r="AK243" i="1"/>
  <c r="AJ243" i="1"/>
  <c r="AI243" i="1"/>
  <c r="AC243" i="1"/>
  <c r="AA243" i="1"/>
  <c r="J243" i="1"/>
  <c r="AK242" i="1"/>
  <c r="AJ242" i="1"/>
  <c r="AI242" i="1"/>
  <c r="AC242" i="1"/>
  <c r="AA242" i="1"/>
  <c r="J242" i="1"/>
  <c r="AK241" i="1"/>
  <c r="AJ241" i="1"/>
  <c r="AI241" i="1"/>
  <c r="AC241" i="1"/>
  <c r="AA241" i="1"/>
  <c r="J241" i="1"/>
  <c r="AK240" i="1"/>
  <c r="AJ240" i="1"/>
  <c r="AI240" i="1"/>
  <c r="AC240" i="1"/>
  <c r="AA240" i="1"/>
  <c r="J240" i="1"/>
  <c r="AK239" i="1"/>
  <c r="AJ239" i="1"/>
  <c r="AI239" i="1"/>
  <c r="AC239" i="1"/>
  <c r="AA239" i="1"/>
  <c r="J239" i="1"/>
  <c r="AK238" i="1"/>
  <c r="AJ238" i="1"/>
  <c r="AI238" i="1"/>
  <c r="AC238" i="1"/>
  <c r="AA238" i="1"/>
  <c r="J238" i="1"/>
  <c r="AK237" i="1"/>
  <c r="AJ237" i="1"/>
  <c r="AI237" i="1"/>
  <c r="AC237" i="1"/>
  <c r="AA237" i="1"/>
  <c r="J237" i="1"/>
  <c r="AK236" i="1"/>
  <c r="AJ236" i="1"/>
  <c r="AI236" i="1"/>
  <c r="AC236" i="1"/>
  <c r="AA236" i="1"/>
  <c r="J236" i="1"/>
  <c r="AK235" i="1"/>
  <c r="AJ235" i="1"/>
  <c r="AI235" i="1"/>
  <c r="AC235" i="1"/>
  <c r="AA235" i="1"/>
  <c r="J235" i="1"/>
  <c r="AK234" i="1"/>
  <c r="AJ234" i="1"/>
  <c r="AI234" i="1"/>
  <c r="AC234" i="1"/>
  <c r="AA234" i="1"/>
  <c r="J234" i="1"/>
  <c r="AK233" i="1"/>
  <c r="AJ233" i="1"/>
  <c r="AI233" i="1"/>
  <c r="AC233" i="1"/>
  <c r="AA233" i="1"/>
  <c r="J233" i="1"/>
  <c r="AK232" i="1"/>
  <c r="AJ232" i="1"/>
  <c r="AI232" i="1"/>
  <c r="AC232" i="1"/>
  <c r="AA232" i="1"/>
  <c r="J232" i="1"/>
  <c r="AK231" i="1"/>
  <c r="AJ231" i="1"/>
  <c r="AI231" i="1"/>
  <c r="AC231" i="1"/>
  <c r="AA231" i="1"/>
  <c r="J231" i="1"/>
  <c r="AK230" i="1"/>
  <c r="AJ230" i="1"/>
  <c r="AI230" i="1"/>
  <c r="AC230" i="1"/>
  <c r="AA230" i="1"/>
  <c r="J230" i="1"/>
  <c r="AK229" i="1"/>
  <c r="AJ229" i="1"/>
  <c r="AI229" i="1"/>
  <c r="AC229" i="1"/>
  <c r="AA229" i="1"/>
  <c r="J229" i="1"/>
  <c r="AK228" i="1"/>
  <c r="AJ228" i="1"/>
  <c r="AI228" i="1"/>
  <c r="AC228" i="1"/>
  <c r="AA228" i="1"/>
  <c r="J228" i="1"/>
  <c r="AK227" i="1"/>
  <c r="AJ227" i="1"/>
  <c r="AI227" i="1"/>
  <c r="AC227" i="1"/>
  <c r="AA227" i="1"/>
  <c r="J227" i="1"/>
  <c r="AK226" i="1"/>
  <c r="AJ226" i="1"/>
  <c r="AI226" i="1"/>
  <c r="AC226" i="1"/>
  <c r="AA226" i="1"/>
  <c r="J226" i="1"/>
  <c r="AK225" i="1"/>
  <c r="AJ225" i="1"/>
  <c r="AI225" i="1"/>
  <c r="AC225" i="1"/>
  <c r="AA225" i="1"/>
  <c r="J225" i="1"/>
  <c r="AK224" i="1"/>
  <c r="AJ224" i="1"/>
  <c r="AI224" i="1"/>
  <c r="AC224" i="1"/>
  <c r="AA224" i="1"/>
  <c r="J224" i="1"/>
  <c r="AK223" i="1"/>
  <c r="AJ223" i="1"/>
  <c r="AI223" i="1"/>
  <c r="AC223" i="1"/>
  <c r="AA223" i="1"/>
  <c r="J223" i="1"/>
  <c r="AK222" i="1"/>
  <c r="AJ222" i="1"/>
  <c r="AI222" i="1"/>
  <c r="AC222" i="1"/>
  <c r="AA222" i="1"/>
  <c r="J222" i="1"/>
  <c r="AK221" i="1"/>
  <c r="AJ221" i="1"/>
  <c r="AI221" i="1"/>
  <c r="AC221" i="1"/>
  <c r="AA221" i="1"/>
  <c r="J221" i="1"/>
  <c r="AK220" i="1"/>
  <c r="AJ220" i="1"/>
  <c r="AI220" i="1"/>
  <c r="AC220" i="1"/>
  <c r="AA220" i="1"/>
  <c r="J220" i="1"/>
  <c r="AK219" i="1"/>
  <c r="AJ219" i="1"/>
  <c r="AI219" i="1"/>
  <c r="AC219" i="1"/>
  <c r="AA219" i="1"/>
  <c r="J219" i="1"/>
  <c r="AK218" i="1"/>
  <c r="AJ218" i="1"/>
  <c r="AI218" i="1"/>
  <c r="AC218" i="1"/>
  <c r="AA218" i="1"/>
  <c r="J218" i="1"/>
  <c r="AK217" i="1"/>
  <c r="AJ217" i="1"/>
  <c r="AI217" i="1"/>
  <c r="AC217" i="1"/>
  <c r="AA217" i="1"/>
  <c r="J217" i="1"/>
  <c r="AK216" i="1"/>
  <c r="AJ216" i="1"/>
  <c r="AI216" i="1"/>
  <c r="AC216" i="1"/>
  <c r="AA216" i="1"/>
  <c r="J216" i="1"/>
  <c r="AK215" i="1"/>
  <c r="AJ215" i="1"/>
  <c r="AI215" i="1"/>
  <c r="AC215" i="1"/>
  <c r="AA215" i="1"/>
  <c r="J215" i="1"/>
  <c r="AK214" i="1"/>
  <c r="AJ214" i="1"/>
  <c r="AI214" i="1"/>
  <c r="AC214" i="1"/>
  <c r="AA214" i="1"/>
  <c r="J214" i="1"/>
  <c r="AK213" i="1"/>
  <c r="AJ213" i="1"/>
  <c r="AI213" i="1"/>
  <c r="AC213" i="1"/>
  <c r="AA213" i="1"/>
  <c r="J213" i="1"/>
  <c r="AK212" i="1"/>
  <c r="AJ212" i="1"/>
  <c r="AI212" i="1"/>
  <c r="AC212" i="1"/>
  <c r="AA212" i="1"/>
  <c r="J212" i="1"/>
  <c r="AK211" i="1"/>
  <c r="AJ211" i="1"/>
  <c r="AI211" i="1"/>
  <c r="AC211" i="1"/>
  <c r="AA211" i="1"/>
  <c r="J211" i="1"/>
  <c r="AK210" i="1"/>
  <c r="AJ210" i="1"/>
  <c r="AI210" i="1"/>
  <c r="AC210" i="1"/>
  <c r="AA210" i="1"/>
  <c r="J210" i="1"/>
  <c r="AK209" i="1"/>
  <c r="AJ209" i="1"/>
  <c r="AI209" i="1"/>
  <c r="AC209" i="1"/>
  <c r="AA209" i="1"/>
  <c r="J209" i="1"/>
  <c r="AK208" i="1"/>
  <c r="AJ208" i="1"/>
  <c r="AI208" i="1"/>
  <c r="AC208" i="1"/>
  <c r="AA208" i="1"/>
  <c r="J208" i="1"/>
  <c r="AK207" i="1"/>
  <c r="AJ207" i="1"/>
  <c r="AI207" i="1"/>
  <c r="AC207" i="1"/>
  <c r="AA207" i="1"/>
  <c r="J207" i="1"/>
  <c r="AK206" i="1"/>
  <c r="AJ206" i="1"/>
  <c r="AI206" i="1"/>
  <c r="AC206" i="1"/>
  <c r="AA206" i="1"/>
  <c r="J206" i="1"/>
  <c r="AK205" i="1"/>
  <c r="AJ205" i="1"/>
  <c r="AI205" i="1"/>
  <c r="AC205" i="1"/>
  <c r="AA205" i="1"/>
  <c r="J205" i="1"/>
  <c r="AK204" i="1"/>
  <c r="AJ204" i="1"/>
  <c r="AI204" i="1"/>
  <c r="AC204" i="1"/>
  <c r="AA204" i="1"/>
  <c r="J204" i="1"/>
  <c r="AK203" i="1"/>
  <c r="AJ203" i="1"/>
  <c r="AI203" i="1"/>
  <c r="AC203" i="1"/>
  <c r="AA203" i="1"/>
  <c r="J203" i="1"/>
  <c r="AK202" i="1"/>
  <c r="AJ202" i="1"/>
  <c r="AI202" i="1"/>
  <c r="AC202" i="1"/>
  <c r="AA202" i="1"/>
  <c r="J202" i="1"/>
  <c r="AK201" i="1"/>
  <c r="AJ201" i="1"/>
  <c r="AI201" i="1"/>
  <c r="AC201" i="1"/>
  <c r="AA201" i="1"/>
  <c r="J201" i="1"/>
  <c r="AK200" i="1"/>
  <c r="AJ200" i="1"/>
  <c r="AI200" i="1"/>
  <c r="AC200" i="1"/>
  <c r="AA200" i="1"/>
  <c r="J200" i="1"/>
  <c r="AK199" i="1"/>
  <c r="AJ199" i="1"/>
  <c r="AI199" i="1"/>
  <c r="AC199" i="1"/>
  <c r="AA199" i="1"/>
  <c r="J199" i="1"/>
  <c r="AK198" i="1"/>
  <c r="AJ198" i="1"/>
  <c r="AI198" i="1"/>
  <c r="AC198" i="1"/>
  <c r="AA198" i="1"/>
  <c r="J198" i="1"/>
  <c r="AK197" i="1"/>
  <c r="AJ197" i="1"/>
  <c r="AI197" i="1"/>
  <c r="AC197" i="1"/>
  <c r="AA197" i="1"/>
  <c r="J197" i="1"/>
  <c r="AK196" i="1"/>
  <c r="AJ196" i="1"/>
  <c r="AI196" i="1"/>
  <c r="AC196" i="1"/>
  <c r="AA196" i="1"/>
  <c r="J196" i="1"/>
  <c r="AK195" i="1"/>
  <c r="AJ195" i="1"/>
  <c r="AI195" i="1"/>
  <c r="AC195" i="1"/>
  <c r="AA195" i="1"/>
  <c r="J195" i="1"/>
  <c r="AK194" i="1"/>
  <c r="AJ194" i="1"/>
  <c r="AI194" i="1"/>
  <c r="AC194" i="1"/>
  <c r="AA194" i="1"/>
  <c r="J194" i="1"/>
  <c r="AK193" i="1"/>
  <c r="AJ193" i="1"/>
  <c r="AI193" i="1"/>
  <c r="AC193" i="1"/>
  <c r="AA193" i="1"/>
  <c r="J193" i="1"/>
  <c r="AK192" i="1"/>
  <c r="AJ192" i="1"/>
  <c r="AI192" i="1"/>
  <c r="AC192" i="1"/>
  <c r="AA192" i="1"/>
  <c r="J192" i="1"/>
  <c r="AK191" i="1"/>
  <c r="AJ191" i="1"/>
  <c r="AI191" i="1"/>
  <c r="AC191" i="1"/>
  <c r="AA191" i="1"/>
  <c r="J191" i="1"/>
  <c r="AK190" i="1"/>
  <c r="AJ190" i="1"/>
  <c r="AI190" i="1"/>
  <c r="AC190" i="1"/>
  <c r="AA190" i="1"/>
  <c r="J190" i="1"/>
  <c r="AK189" i="1"/>
  <c r="AJ189" i="1"/>
  <c r="AI189" i="1"/>
  <c r="AC189" i="1"/>
  <c r="AA189" i="1"/>
  <c r="J189" i="1"/>
  <c r="AK188" i="1"/>
  <c r="AJ188" i="1"/>
  <c r="AI188" i="1"/>
  <c r="AC188" i="1"/>
  <c r="AA188" i="1"/>
  <c r="J188" i="1"/>
  <c r="AK187" i="1"/>
  <c r="AJ187" i="1"/>
  <c r="AI187" i="1"/>
  <c r="AC187" i="1"/>
  <c r="AA187" i="1"/>
  <c r="J187" i="1"/>
  <c r="AK186" i="1"/>
  <c r="AJ186" i="1"/>
  <c r="AI186" i="1"/>
  <c r="AC186" i="1"/>
  <c r="AA186" i="1"/>
  <c r="J186" i="1"/>
  <c r="AK185" i="1"/>
  <c r="AJ185" i="1"/>
  <c r="AI185" i="1"/>
  <c r="AC185" i="1"/>
  <c r="AA185" i="1"/>
  <c r="J185" i="1"/>
  <c r="AK184" i="1"/>
  <c r="AJ184" i="1"/>
  <c r="AI184" i="1"/>
  <c r="AC184" i="1"/>
  <c r="AA184" i="1"/>
  <c r="J184" i="1"/>
  <c r="AK183" i="1"/>
  <c r="AJ183" i="1"/>
  <c r="AI183" i="1"/>
  <c r="AC183" i="1"/>
  <c r="AA183" i="1"/>
  <c r="J183" i="1"/>
  <c r="AK182" i="1"/>
  <c r="AJ182" i="1"/>
  <c r="AI182" i="1"/>
  <c r="AC182" i="1"/>
  <c r="AA182" i="1"/>
  <c r="J182" i="1"/>
  <c r="AK181" i="1"/>
  <c r="AJ181" i="1"/>
  <c r="AI181" i="1"/>
  <c r="AC181" i="1"/>
  <c r="AA181" i="1"/>
  <c r="J181" i="1"/>
  <c r="AK180" i="1"/>
  <c r="AJ180" i="1"/>
  <c r="AI180" i="1"/>
  <c r="AC180" i="1"/>
  <c r="AA180" i="1"/>
  <c r="J180" i="1"/>
  <c r="AK179" i="1"/>
  <c r="AJ179" i="1"/>
  <c r="AI179" i="1"/>
  <c r="AC179" i="1"/>
  <c r="AA179" i="1"/>
  <c r="J179" i="1"/>
  <c r="AK178" i="1"/>
  <c r="AJ178" i="1"/>
  <c r="AI178" i="1"/>
  <c r="AC178" i="1"/>
  <c r="AA178" i="1"/>
  <c r="J178" i="1"/>
  <c r="AK177" i="1"/>
  <c r="AJ177" i="1"/>
  <c r="AI177" i="1"/>
  <c r="AC177" i="1"/>
  <c r="AA177" i="1"/>
  <c r="J177" i="1"/>
  <c r="AK176" i="1"/>
  <c r="AJ176" i="1"/>
  <c r="AI176" i="1"/>
  <c r="AC176" i="1"/>
  <c r="AA176" i="1"/>
  <c r="J176" i="1"/>
  <c r="AK175" i="1"/>
  <c r="AJ175" i="1"/>
  <c r="AI175" i="1"/>
  <c r="AC175" i="1"/>
  <c r="AA175" i="1"/>
  <c r="J175" i="1"/>
  <c r="AK174" i="1"/>
  <c r="AJ174" i="1"/>
  <c r="AI174" i="1"/>
  <c r="AC174" i="1"/>
  <c r="AA174" i="1"/>
  <c r="J174" i="1"/>
  <c r="AK173" i="1"/>
  <c r="AJ173" i="1"/>
  <c r="AI173" i="1"/>
  <c r="AC173" i="1"/>
  <c r="AA173" i="1"/>
  <c r="J173" i="1"/>
  <c r="AK172" i="1"/>
  <c r="AJ172" i="1"/>
  <c r="AI172" i="1"/>
  <c r="AC172" i="1"/>
  <c r="AA172" i="1"/>
  <c r="J172" i="1"/>
  <c r="AK171" i="1"/>
  <c r="AJ171" i="1"/>
  <c r="AI171" i="1"/>
  <c r="AC171" i="1"/>
  <c r="AA171" i="1"/>
  <c r="J171" i="1"/>
  <c r="AK170" i="1"/>
  <c r="AJ170" i="1"/>
  <c r="AI170" i="1"/>
  <c r="AC170" i="1"/>
  <c r="AA170" i="1"/>
  <c r="J170" i="1"/>
  <c r="AK169" i="1"/>
  <c r="AJ169" i="1"/>
  <c r="AI169" i="1"/>
  <c r="AC169" i="1"/>
  <c r="AA169" i="1"/>
  <c r="J169" i="1"/>
  <c r="AK168" i="1"/>
  <c r="AJ168" i="1"/>
  <c r="AI168" i="1"/>
  <c r="AC168" i="1"/>
  <c r="AA168" i="1"/>
  <c r="J168" i="1"/>
  <c r="AK167" i="1"/>
  <c r="AJ167" i="1"/>
  <c r="AI167" i="1"/>
  <c r="AC167" i="1"/>
  <c r="AA167" i="1"/>
  <c r="J167" i="1"/>
  <c r="AK166" i="1"/>
  <c r="AJ166" i="1"/>
  <c r="AI166" i="1"/>
  <c r="AC166" i="1"/>
  <c r="AA166" i="1"/>
  <c r="J166" i="1"/>
  <c r="AK165" i="1"/>
  <c r="AJ165" i="1"/>
  <c r="AI165" i="1"/>
  <c r="AC165" i="1"/>
  <c r="AA165" i="1"/>
  <c r="J165" i="1"/>
  <c r="AK164" i="1"/>
  <c r="AJ164" i="1"/>
  <c r="AI164" i="1"/>
  <c r="AC164" i="1"/>
  <c r="AA164" i="1"/>
  <c r="J164" i="1"/>
  <c r="AK163" i="1"/>
  <c r="AJ163" i="1"/>
  <c r="AI163" i="1"/>
  <c r="AC163" i="1"/>
  <c r="AA163" i="1"/>
  <c r="J163" i="1"/>
  <c r="AK162" i="1"/>
  <c r="AJ162" i="1"/>
  <c r="AI162" i="1"/>
  <c r="AC162" i="1"/>
  <c r="AA162" i="1"/>
  <c r="J162" i="1"/>
  <c r="AK161" i="1"/>
  <c r="AJ161" i="1"/>
  <c r="AI161" i="1"/>
  <c r="AC161" i="1"/>
  <c r="AA161" i="1"/>
  <c r="J161" i="1"/>
  <c r="AK160" i="1"/>
  <c r="AJ160" i="1"/>
  <c r="AI160" i="1"/>
  <c r="AC160" i="1"/>
  <c r="AA160" i="1"/>
  <c r="J160" i="1"/>
  <c r="AK159" i="1"/>
  <c r="AJ159" i="1"/>
  <c r="AI159" i="1"/>
  <c r="AC159" i="1"/>
  <c r="AA159" i="1"/>
  <c r="J159" i="1"/>
  <c r="AK158" i="1"/>
  <c r="AJ158" i="1"/>
  <c r="AI158" i="1"/>
  <c r="AC158" i="1"/>
  <c r="AA158" i="1"/>
  <c r="J158" i="1"/>
  <c r="AK157" i="1"/>
  <c r="AJ157" i="1"/>
  <c r="AI157" i="1"/>
  <c r="AC157" i="1"/>
  <c r="AA157" i="1"/>
  <c r="J157" i="1"/>
  <c r="AK156" i="1"/>
  <c r="AJ156" i="1"/>
  <c r="AI156" i="1"/>
  <c r="AC156" i="1"/>
  <c r="AA156" i="1"/>
  <c r="J156" i="1"/>
  <c r="AK155" i="1"/>
  <c r="AJ155" i="1"/>
  <c r="AI155" i="1"/>
  <c r="AA155" i="1"/>
  <c r="J155" i="1"/>
  <c r="AK154" i="1"/>
  <c r="AJ154" i="1"/>
  <c r="AI154" i="1"/>
  <c r="AC154" i="1"/>
  <c r="AA154" i="1"/>
  <c r="J154" i="1"/>
  <c r="AK153" i="1"/>
  <c r="AJ153" i="1"/>
  <c r="AI153" i="1"/>
  <c r="AC153" i="1"/>
  <c r="AA153" i="1"/>
  <c r="J153" i="1"/>
  <c r="AK152" i="1"/>
  <c r="AJ152" i="1"/>
  <c r="AI152" i="1"/>
  <c r="AC152" i="1"/>
  <c r="AA152" i="1"/>
  <c r="J152" i="1"/>
  <c r="AK151" i="1"/>
  <c r="AJ151" i="1"/>
  <c r="AI151" i="1"/>
  <c r="AC151" i="1"/>
  <c r="AA151" i="1"/>
  <c r="J151" i="1"/>
  <c r="AK150" i="1"/>
  <c r="AJ150" i="1"/>
  <c r="AI150" i="1"/>
  <c r="AC150" i="1"/>
  <c r="AA150" i="1"/>
  <c r="J150" i="1"/>
  <c r="AK149" i="1"/>
  <c r="AJ149" i="1"/>
  <c r="AI149" i="1"/>
  <c r="AC149" i="1"/>
  <c r="AA149" i="1"/>
  <c r="J149" i="1"/>
  <c r="AK148" i="1"/>
  <c r="AJ148" i="1"/>
  <c r="AI148" i="1"/>
  <c r="AC148" i="1"/>
  <c r="AA148" i="1"/>
  <c r="J148" i="1"/>
  <c r="AK147" i="1"/>
  <c r="AJ147" i="1"/>
  <c r="AI147" i="1"/>
  <c r="AC147" i="1"/>
  <c r="AA147" i="1"/>
  <c r="J147" i="1"/>
  <c r="AK146" i="1"/>
  <c r="AJ146" i="1"/>
  <c r="AI146" i="1"/>
  <c r="AC146" i="1"/>
  <c r="AA146" i="1"/>
  <c r="J146" i="1"/>
  <c r="AK145" i="1"/>
  <c r="AJ145" i="1"/>
  <c r="AI145" i="1"/>
  <c r="AC145" i="1"/>
  <c r="AA145" i="1"/>
  <c r="J145" i="1"/>
  <c r="AK144" i="1"/>
  <c r="AJ144" i="1"/>
  <c r="AI144" i="1"/>
  <c r="AC144" i="1"/>
  <c r="AA144" i="1"/>
  <c r="J144" i="1"/>
  <c r="AK143" i="1"/>
  <c r="AJ143" i="1"/>
  <c r="AI143" i="1"/>
  <c r="AC143" i="1"/>
  <c r="AA143" i="1"/>
  <c r="J143" i="1"/>
  <c r="AK142" i="1"/>
  <c r="AJ142" i="1"/>
  <c r="AI142" i="1"/>
  <c r="AC142" i="1"/>
  <c r="AA142" i="1"/>
  <c r="J142" i="1"/>
  <c r="AK141" i="1"/>
  <c r="AJ141" i="1"/>
  <c r="AI141" i="1"/>
  <c r="AC141" i="1"/>
  <c r="AA141" i="1"/>
  <c r="J141" i="1"/>
  <c r="AK140" i="1"/>
  <c r="AJ140" i="1"/>
  <c r="AI140" i="1"/>
  <c r="AC140" i="1"/>
  <c r="AA140" i="1"/>
  <c r="J140" i="1"/>
  <c r="AK139" i="1"/>
  <c r="AJ139" i="1"/>
  <c r="AI139" i="1"/>
  <c r="AC139" i="1"/>
  <c r="AA139" i="1"/>
  <c r="J139" i="1"/>
  <c r="AK138" i="1"/>
  <c r="AJ138" i="1"/>
  <c r="AI138" i="1"/>
  <c r="AC138" i="1"/>
  <c r="AA138" i="1"/>
  <c r="J138" i="1"/>
  <c r="AK137" i="1"/>
  <c r="AJ137" i="1"/>
  <c r="AI137" i="1"/>
  <c r="AC137" i="1"/>
  <c r="AA137" i="1"/>
  <c r="J137" i="1"/>
  <c r="AK136" i="1"/>
  <c r="AJ136" i="1"/>
  <c r="AI136" i="1"/>
  <c r="AC136" i="1"/>
  <c r="AA136" i="1"/>
  <c r="J136" i="1"/>
  <c r="AK135" i="1"/>
  <c r="AJ135" i="1"/>
  <c r="AI135" i="1"/>
  <c r="AC135" i="1"/>
  <c r="AA135" i="1"/>
  <c r="J135" i="1"/>
  <c r="AK134" i="1"/>
  <c r="AJ134" i="1"/>
  <c r="AI134" i="1"/>
  <c r="AC134" i="1"/>
  <c r="AA134" i="1"/>
  <c r="J134" i="1"/>
  <c r="AK133" i="1"/>
  <c r="AJ133" i="1"/>
  <c r="AI133" i="1"/>
  <c r="AC133" i="1"/>
  <c r="AA133" i="1"/>
  <c r="J133" i="1"/>
  <c r="I133" i="1"/>
  <c r="AK132" i="1"/>
  <c r="AJ132" i="1"/>
  <c r="AI132" i="1"/>
  <c r="AC132" i="1"/>
  <c r="AA132" i="1"/>
  <c r="J132" i="1"/>
  <c r="AK131" i="1"/>
  <c r="AJ131" i="1"/>
  <c r="AI131" i="1"/>
  <c r="AC131" i="1"/>
  <c r="AA131" i="1"/>
  <c r="J131" i="1"/>
  <c r="AK130" i="1"/>
  <c r="AJ130" i="1"/>
  <c r="AI130" i="1"/>
  <c r="AC130" i="1"/>
  <c r="AA130" i="1"/>
  <c r="J130" i="1"/>
  <c r="AK129" i="1"/>
  <c r="AJ129" i="1"/>
  <c r="AI129" i="1"/>
  <c r="AC129" i="1"/>
  <c r="AA129" i="1"/>
  <c r="J129" i="1"/>
  <c r="AK128" i="1"/>
  <c r="AJ128" i="1"/>
  <c r="AI128" i="1"/>
  <c r="AC128" i="1"/>
  <c r="AA128" i="1"/>
  <c r="J128" i="1"/>
  <c r="AK127" i="1"/>
  <c r="AJ127" i="1"/>
  <c r="AI127" i="1"/>
  <c r="AC127" i="1"/>
  <c r="AA127" i="1"/>
  <c r="J127" i="1"/>
  <c r="AK126" i="1"/>
  <c r="AJ126" i="1"/>
  <c r="AI126" i="1"/>
  <c r="AC126" i="1"/>
  <c r="AA126" i="1"/>
  <c r="J126" i="1"/>
  <c r="AK125" i="1"/>
  <c r="AJ125" i="1"/>
  <c r="AI125" i="1"/>
  <c r="AC125" i="1"/>
  <c r="AA125" i="1"/>
  <c r="J125" i="1"/>
  <c r="AK124" i="1"/>
  <c r="AJ124" i="1"/>
  <c r="AI124" i="1"/>
  <c r="AC124" i="1"/>
  <c r="AA124" i="1"/>
  <c r="J124" i="1"/>
  <c r="AK123" i="1"/>
  <c r="AJ123" i="1"/>
  <c r="AI123" i="1"/>
  <c r="AC123" i="1"/>
  <c r="AA123" i="1"/>
  <c r="J123" i="1"/>
  <c r="AK122" i="1"/>
  <c r="AJ122" i="1"/>
  <c r="AI122" i="1"/>
  <c r="AC122" i="1"/>
  <c r="AA122" i="1"/>
  <c r="J122" i="1"/>
  <c r="AK121" i="1"/>
  <c r="AJ121" i="1"/>
  <c r="AI121" i="1"/>
  <c r="AC121" i="1"/>
  <c r="AA121" i="1"/>
  <c r="J121" i="1"/>
  <c r="AK120" i="1"/>
  <c r="AJ120" i="1"/>
  <c r="AI120" i="1"/>
  <c r="AC120" i="1"/>
  <c r="AA120" i="1"/>
  <c r="J120" i="1"/>
  <c r="AK119" i="1"/>
  <c r="AJ119" i="1"/>
  <c r="AI119" i="1"/>
  <c r="AC119" i="1"/>
  <c r="AA119" i="1"/>
  <c r="AK118" i="1"/>
  <c r="AJ118" i="1"/>
  <c r="AI118" i="1"/>
  <c r="AC118" i="1"/>
  <c r="AA118" i="1"/>
  <c r="J118" i="1"/>
  <c r="AK117" i="1"/>
  <c r="AJ117" i="1"/>
  <c r="AI117" i="1"/>
  <c r="AC117" i="1"/>
  <c r="AA117" i="1"/>
  <c r="J117" i="1"/>
  <c r="AK116" i="1"/>
  <c r="AJ116" i="1"/>
  <c r="AI116" i="1"/>
  <c r="AC116" i="1"/>
  <c r="AA116" i="1"/>
  <c r="J116" i="1"/>
  <c r="AK115" i="1"/>
  <c r="AJ115" i="1"/>
  <c r="AI115" i="1"/>
  <c r="AC115" i="1"/>
  <c r="AA115" i="1"/>
  <c r="J115" i="1"/>
  <c r="AK114" i="1"/>
  <c r="AJ114" i="1"/>
  <c r="AI114" i="1"/>
  <c r="AC114" i="1"/>
  <c r="AA114" i="1"/>
  <c r="J114" i="1"/>
  <c r="AK113" i="1"/>
  <c r="AJ113" i="1"/>
  <c r="AI113" i="1"/>
  <c r="AC113" i="1"/>
  <c r="AA113" i="1"/>
  <c r="J113" i="1"/>
  <c r="AK112" i="1"/>
  <c r="AJ112" i="1"/>
  <c r="AI112" i="1"/>
  <c r="AC112" i="1"/>
  <c r="AA112" i="1"/>
  <c r="J112" i="1"/>
  <c r="AK111" i="1"/>
  <c r="AJ111" i="1"/>
  <c r="AI111" i="1"/>
  <c r="AC111" i="1"/>
  <c r="AA111" i="1"/>
  <c r="J111" i="1"/>
  <c r="AK110" i="1"/>
  <c r="AJ110" i="1"/>
  <c r="AI110" i="1"/>
  <c r="AC110" i="1"/>
  <c r="AA110" i="1"/>
  <c r="J110" i="1"/>
  <c r="AK109" i="1"/>
  <c r="AJ109" i="1"/>
  <c r="AI109" i="1"/>
  <c r="AC109" i="1"/>
  <c r="AA109" i="1"/>
  <c r="J109" i="1"/>
  <c r="AK108" i="1"/>
  <c r="AJ108" i="1"/>
  <c r="AI108" i="1"/>
  <c r="AC108" i="1"/>
  <c r="AA108" i="1"/>
  <c r="J108" i="1"/>
  <c r="AK107" i="1"/>
  <c r="AJ107" i="1"/>
  <c r="AI107" i="1"/>
  <c r="AC107" i="1"/>
  <c r="AA107" i="1"/>
  <c r="J107" i="1"/>
  <c r="AK106" i="1"/>
  <c r="AJ106" i="1"/>
  <c r="AI106" i="1"/>
  <c r="AC106" i="1"/>
  <c r="AA106" i="1"/>
  <c r="J106" i="1"/>
  <c r="AK105" i="1"/>
  <c r="AJ105" i="1"/>
  <c r="AI105" i="1"/>
  <c r="AC105" i="1"/>
  <c r="AA105" i="1"/>
  <c r="J105" i="1"/>
  <c r="AK104" i="1"/>
  <c r="AJ104" i="1"/>
  <c r="AI104" i="1"/>
  <c r="AC104" i="1"/>
  <c r="AA104" i="1"/>
  <c r="J104" i="1"/>
  <c r="AK103" i="1"/>
  <c r="AJ103" i="1"/>
  <c r="AI103" i="1"/>
  <c r="AC103" i="1"/>
  <c r="AA103" i="1"/>
  <c r="J103" i="1"/>
  <c r="AK102" i="1"/>
  <c r="AJ102" i="1"/>
  <c r="AI102" i="1"/>
  <c r="AC102" i="1"/>
  <c r="AA102" i="1"/>
  <c r="J102" i="1"/>
  <c r="AK101" i="1"/>
  <c r="AJ101" i="1"/>
  <c r="AI101" i="1"/>
  <c r="AC101" i="1"/>
  <c r="AA101" i="1"/>
  <c r="J101" i="1"/>
  <c r="AK100" i="1"/>
  <c r="AJ100" i="1"/>
  <c r="AI100" i="1"/>
  <c r="AC100" i="1"/>
  <c r="AA100" i="1"/>
  <c r="J100" i="1"/>
  <c r="AK99" i="1"/>
  <c r="AJ99" i="1"/>
  <c r="AI99" i="1"/>
  <c r="AC99" i="1"/>
  <c r="AA99" i="1"/>
  <c r="J99" i="1"/>
  <c r="AK98" i="1"/>
  <c r="AJ98" i="1"/>
  <c r="AI98" i="1"/>
  <c r="AC98" i="1"/>
  <c r="AA98" i="1"/>
  <c r="J98" i="1"/>
  <c r="AK97" i="1"/>
  <c r="AJ97" i="1"/>
  <c r="AI97" i="1"/>
  <c r="AC97" i="1"/>
  <c r="AA97" i="1"/>
  <c r="J97" i="1"/>
  <c r="AK96" i="1"/>
  <c r="AJ96" i="1"/>
  <c r="AI96" i="1"/>
  <c r="AC96" i="1"/>
  <c r="AA96" i="1"/>
  <c r="J96" i="1"/>
  <c r="AK95" i="1"/>
  <c r="AJ95" i="1"/>
  <c r="AI95" i="1"/>
  <c r="AC95" i="1"/>
  <c r="AA95" i="1"/>
  <c r="J95" i="1"/>
  <c r="AK94" i="1"/>
  <c r="AJ94" i="1"/>
  <c r="AI94" i="1"/>
  <c r="AC94" i="1"/>
  <c r="AA94" i="1"/>
  <c r="J94" i="1"/>
  <c r="AK93" i="1"/>
  <c r="AJ93" i="1"/>
  <c r="AI93" i="1"/>
  <c r="AC93" i="1"/>
  <c r="AA93" i="1"/>
  <c r="J93" i="1"/>
  <c r="AK92" i="1"/>
  <c r="AJ92" i="1"/>
  <c r="AI92" i="1"/>
  <c r="AC92" i="1"/>
  <c r="AA92" i="1"/>
  <c r="J92" i="1"/>
  <c r="AC91" i="1"/>
  <c r="AA91" i="1"/>
  <c r="J91" i="1"/>
  <c r="AK90" i="1"/>
  <c r="AJ90" i="1"/>
  <c r="AI90" i="1"/>
  <c r="AC90" i="1"/>
  <c r="AA90" i="1"/>
  <c r="J90" i="1"/>
  <c r="AK89" i="1"/>
  <c r="AJ89" i="1"/>
  <c r="AI89" i="1"/>
  <c r="AC89" i="1"/>
  <c r="AA89" i="1"/>
  <c r="J89" i="1"/>
  <c r="AK88" i="1"/>
  <c r="AJ88" i="1"/>
  <c r="AI88" i="1"/>
  <c r="AC88" i="1"/>
  <c r="AA88" i="1"/>
  <c r="J88" i="1"/>
  <c r="AK87" i="1"/>
  <c r="AJ87" i="1"/>
  <c r="AI87" i="1"/>
  <c r="AC87" i="1"/>
  <c r="AA87" i="1"/>
  <c r="J87" i="1"/>
  <c r="AK86" i="1"/>
  <c r="AJ86" i="1"/>
  <c r="AI86" i="1"/>
  <c r="AC86" i="1"/>
  <c r="AA86" i="1"/>
  <c r="J86" i="1"/>
  <c r="AK85" i="1"/>
  <c r="AJ85" i="1"/>
  <c r="AI85" i="1"/>
  <c r="AC85" i="1"/>
  <c r="AA85" i="1"/>
  <c r="J85" i="1"/>
  <c r="AK84" i="1"/>
  <c r="AJ84" i="1"/>
  <c r="AI84" i="1"/>
  <c r="AC84" i="1"/>
  <c r="AA84" i="1"/>
  <c r="J84" i="1"/>
  <c r="AK83" i="1"/>
  <c r="AJ83" i="1"/>
  <c r="AI83" i="1"/>
  <c r="AC83" i="1"/>
  <c r="AA83" i="1"/>
  <c r="J83" i="1"/>
  <c r="AK82" i="1"/>
  <c r="AJ82" i="1"/>
  <c r="AI82" i="1"/>
  <c r="AC82" i="1"/>
  <c r="AA82" i="1"/>
  <c r="J82" i="1"/>
  <c r="AK81" i="1"/>
  <c r="AJ81" i="1"/>
  <c r="AI81" i="1"/>
  <c r="AC81" i="1"/>
  <c r="AA81" i="1"/>
  <c r="J81" i="1"/>
  <c r="AK80" i="1"/>
  <c r="AJ80" i="1"/>
  <c r="AI80" i="1"/>
  <c r="AC80" i="1"/>
  <c r="AA80" i="1"/>
  <c r="J80" i="1"/>
  <c r="AK79" i="1"/>
  <c r="AJ79" i="1"/>
  <c r="AI79" i="1"/>
  <c r="AC79" i="1"/>
  <c r="AA79" i="1"/>
  <c r="J79" i="1"/>
  <c r="AK78" i="1"/>
  <c r="AJ78" i="1"/>
  <c r="AI78" i="1"/>
  <c r="AC78" i="1"/>
  <c r="AA78" i="1"/>
  <c r="J78" i="1"/>
  <c r="AK77" i="1"/>
  <c r="AJ77" i="1"/>
  <c r="AI77" i="1"/>
  <c r="AC77" i="1"/>
  <c r="AA77" i="1"/>
  <c r="J77" i="1"/>
  <c r="AK76" i="1"/>
  <c r="AJ76" i="1"/>
  <c r="AI76" i="1"/>
  <c r="AC76" i="1"/>
  <c r="AA76" i="1"/>
  <c r="J76" i="1"/>
  <c r="AK75" i="1"/>
  <c r="AJ75" i="1"/>
  <c r="AI75" i="1"/>
  <c r="AC75" i="1"/>
  <c r="AA75" i="1"/>
  <c r="J75" i="1"/>
  <c r="AK74" i="1"/>
  <c r="AJ74" i="1"/>
  <c r="AI74" i="1"/>
  <c r="AC74" i="1"/>
  <c r="AA74" i="1"/>
  <c r="J74" i="1"/>
  <c r="AK73" i="1"/>
  <c r="AJ73" i="1"/>
  <c r="AI73" i="1"/>
  <c r="AC73" i="1"/>
  <c r="AA73" i="1"/>
  <c r="J73" i="1"/>
  <c r="AK72" i="1"/>
  <c r="AJ72" i="1"/>
  <c r="AI72" i="1"/>
  <c r="AC72" i="1"/>
  <c r="AA72" i="1"/>
  <c r="J72" i="1"/>
  <c r="AK71" i="1"/>
  <c r="AJ71" i="1"/>
  <c r="AI71" i="1"/>
  <c r="AC71" i="1"/>
  <c r="AA71" i="1"/>
  <c r="J71" i="1"/>
  <c r="AK70" i="1"/>
  <c r="AJ70" i="1"/>
  <c r="AI70" i="1"/>
  <c r="AC70" i="1"/>
  <c r="AA70" i="1"/>
  <c r="J70" i="1"/>
  <c r="AK69" i="1"/>
  <c r="AJ69" i="1"/>
  <c r="AI69" i="1"/>
  <c r="AC69" i="1"/>
  <c r="AA69" i="1"/>
  <c r="J69" i="1"/>
  <c r="AK68" i="1"/>
  <c r="AJ68" i="1"/>
  <c r="AI68" i="1"/>
  <c r="AC68" i="1"/>
  <c r="AA68" i="1"/>
  <c r="J68" i="1"/>
  <c r="AK67" i="1"/>
  <c r="AJ67" i="1"/>
  <c r="AI67" i="1"/>
  <c r="AC67" i="1"/>
  <c r="AA67" i="1"/>
  <c r="J67" i="1"/>
  <c r="AK66" i="1"/>
  <c r="AJ66" i="1"/>
  <c r="AI66" i="1"/>
  <c r="AC66" i="1"/>
  <c r="AA66" i="1"/>
  <c r="J66" i="1"/>
  <c r="AK65" i="1"/>
  <c r="AJ65" i="1"/>
  <c r="AI65" i="1"/>
  <c r="AC65" i="1"/>
  <c r="AA65" i="1"/>
  <c r="J65" i="1"/>
  <c r="AK64" i="1"/>
  <c r="AJ64" i="1"/>
  <c r="AI64" i="1"/>
  <c r="AC64" i="1"/>
  <c r="AA64" i="1"/>
  <c r="J64" i="1"/>
  <c r="AK63" i="1"/>
  <c r="AJ63" i="1"/>
  <c r="AI63" i="1"/>
  <c r="AC63" i="1"/>
  <c r="AA63" i="1"/>
  <c r="J63" i="1"/>
  <c r="AK62" i="1"/>
  <c r="AJ62" i="1"/>
  <c r="AI62" i="1"/>
  <c r="AC62" i="1"/>
  <c r="AA62" i="1"/>
  <c r="J62" i="1"/>
  <c r="AK61" i="1"/>
  <c r="AJ61" i="1"/>
  <c r="AI61" i="1"/>
  <c r="AC61" i="1"/>
  <c r="AA61" i="1"/>
  <c r="J61" i="1"/>
  <c r="AK60" i="1"/>
  <c r="AJ60" i="1"/>
  <c r="AI60" i="1"/>
  <c r="AC60" i="1"/>
  <c r="AA60" i="1"/>
  <c r="J60" i="1"/>
  <c r="AK59" i="1"/>
  <c r="AJ59" i="1"/>
  <c r="AI59" i="1"/>
  <c r="AC59" i="1"/>
  <c r="AA59" i="1"/>
  <c r="J59" i="1"/>
  <c r="AK58" i="1"/>
  <c r="AJ58" i="1"/>
  <c r="AI58" i="1"/>
  <c r="AC58" i="1"/>
  <c r="AA58" i="1"/>
  <c r="J58" i="1"/>
  <c r="AK57" i="1"/>
  <c r="AJ57" i="1"/>
  <c r="AI57" i="1"/>
  <c r="AC57" i="1"/>
  <c r="AA57" i="1"/>
  <c r="J57" i="1"/>
  <c r="AK56" i="1"/>
  <c r="AJ56" i="1"/>
  <c r="AI56" i="1"/>
  <c r="AC56" i="1"/>
  <c r="AA56" i="1"/>
  <c r="J56" i="1"/>
  <c r="AK55" i="1"/>
  <c r="AJ55" i="1"/>
  <c r="AI55" i="1"/>
  <c r="AC55" i="1"/>
  <c r="AA55" i="1"/>
  <c r="J55" i="1"/>
  <c r="AK54" i="1"/>
  <c r="AJ54" i="1"/>
  <c r="AI54" i="1"/>
  <c r="AC54" i="1"/>
  <c r="AA54" i="1"/>
  <c r="J54" i="1"/>
  <c r="AK53" i="1"/>
  <c r="AJ53" i="1"/>
  <c r="AI53" i="1"/>
  <c r="AC53" i="1"/>
  <c r="AA53" i="1"/>
  <c r="J53" i="1"/>
  <c r="AK52" i="1"/>
  <c r="AJ52" i="1"/>
  <c r="AI52" i="1"/>
  <c r="AC52" i="1"/>
  <c r="AA52" i="1"/>
  <c r="J52" i="1"/>
  <c r="AK51" i="1"/>
  <c r="AJ51" i="1"/>
  <c r="AI51" i="1"/>
  <c r="AC51" i="1"/>
  <c r="AA51" i="1"/>
  <c r="J51" i="1"/>
  <c r="AK50" i="1"/>
  <c r="AJ50" i="1"/>
  <c r="AI50" i="1"/>
  <c r="AC50" i="1"/>
  <c r="AA50" i="1"/>
  <c r="J50" i="1"/>
  <c r="AK49" i="1"/>
  <c r="AJ49" i="1"/>
  <c r="AI49" i="1"/>
  <c r="AC49" i="1"/>
  <c r="AA49" i="1"/>
  <c r="J49" i="1"/>
  <c r="AK48" i="1"/>
  <c r="AJ48" i="1"/>
  <c r="AI48" i="1"/>
  <c r="AC48" i="1"/>
  <c r="AA48" i="1"/>
  <c r="J48" i="1"/>
  <c r="AK47" i="1"/>
  <c r="AJ47" i="1"/>
  <c r="AI47" i="1"/>
  <c r="AC47" i="1"/>
  <c r="AA47" i="1"/>
  <c r="J47" i="1"/>
  <c r="AK46" i="1"/>
  <c r="AJ46" i="1"/>
  <c r="AI46" i="1"/>
  <c r="AC46" i="1"/>
  <c r="AA46" i="1"/>
  <c r="J46" i="1"/>
  <c r="AK45" i="1"/>
  <c r="AJ45" i="1"/>
  <c r="AI45" i="1"/>
  <c r="AC45" i="1"/>
  <c r="AA45" i="1"/>
  <c r="J45" i="1"/>
  <c r="AK44" i="1"/>
  <c r="AJ44" i="1"/>
  <c r="AI44" i="1"/>
  <c r="AC44" i="1"/>
  <c r="AA44" i="1"/>
  <c r="J44" i="1"/>
  <c r="AK43" i="1"/>
  <c r="AJ43" i="1"/>
  <c r="AI43" i="1"/>
  <c r="AC43" i="1"/>
  <c r="AA43" i="1"/>
  <c r="J43" i="1"/>
  <c r="AK42" i="1"/>
  <c r="AJ42" i="1"/>
  <c r="AI42" i="1"/>
  <c r="AC42" i="1"/>
  <c r="AA42" i="1"/>
  <c r="J42" i="1"/>
  <c r="AK41" i="1"/>
  <c r="AJ41" i="1"/>
  <c r="AI41" i="1"/>
  <c r="AC41" i="1"/>
  <c r="AA41" i="1"/>
  <c r="J41" i="1"/>
  <c r="AK40" i="1"/>
  <c r="AJ40" i="1"/>
  <c r="AI40" i="1"/>
  <c r="AC40" i="1"/>
  <c r="AA40" i="1"/>
  <c r="J40" i="1"/>
  <c r="AK39" i="1"/>
  <c r="AJ39" i="1"/>
  <c r="AI39" i="1"/>
  <c r="AC39" i="1"/>
  <c r="AA39" i="1"/>
  <c r="J39" i="1"/>
  <c r="AK38" i="1"/>
  <c r="AJ38" i="1"/>
  <c r="AI38" i="1"/>
  <c r="AC38" i="1"/>
  <c r="AA38" i="1"/>
  <c r="J38" i="1"/>
  <c r="AK37" i="1"/>
  <c r="AJ37" i="1"/>
  <c r="AI37" i="1"/>
  <c r="AC37" i="1"/>
  <c r="AA37" i="1"/>
  <c r="J37" i="1"/>
  <c r="AK36" i="1"/>
  <c r="AJ36" i="1"/>
  <c r="AI36" i="1"/>
  <c r="AC36" i="1"/>
  <c r="AA36" i="1"/>
  <c r="J36" i="1"/>
  <c r="AK35" i="1"/>
  <c r="AJ35" i="1"/>
  <c r="AI35" i="1"/>
  <c r="AC35" i="1"/>
  <c r="AA35" i="1"/>
  <c r="J35" i="1"/>
  <c r="AK34" i="1"/>
  <c r="AJ34" i="1"/>
  <c r="AI34" i="1"/>
  <c r="AC34" i="1"/>
  <c r="AA34" i="1"/>
  <c r="J34" i="1"/>
  <c r="AK33" i="1"/>
  <c r="AJ33" i="1"/>
  <c r="AI33" i="1"/>
  <c r="AC33" i="1"/>
  <c r="AA33" i="1"/>
  <c r="J33" i="1"/>
  <c r="AK32" i="1"/>
  <c r="AJ32" i="1"/>
  <c r="AI32" i="1"/>
  <c r="AC32" i="1"/>
  <c r="AA32" i="1"/>
  <c r="J32" i="1"/>
  <c r="AK31" i="1"/>
  <c r="AJ31" i="1"/>
  <c r="AI31" i="1"/>
  <c r="AC31" i="1"/>
  <c r="AA31" i="1"/>
  <c r="J31" i="1"/>
  <c r="AK30" i="1"/>
  <c r="AJ30" i="1"/>
  <c r="AI30" i="1"/>
  <c r="AC30" i="1"/>
  <c r="AA30" i="1"/>
  <c r="J30" i="1"/>
  <c r="AK29" i="1"/>
  <c r="AJ29" i="1"/>
  <c r="AI29" i="1"/>
  <c r="AC29" i="1"/>
  <c r="AA29" i="1"/>
  <c r="J29" i="1"/>
  <c r="AK28" i="1"/>
  <c r="AJ28" i="1"/>
  <c r="AI28" i="1"/>
  <c r="AC28" i="1"/>
  <c r="AA28" i="1"/>
  <c r="J28" i="1"/>
  <c r="AK27" i="1"/>
  <c r="AJ27" i="1"/>
  <c r="AI27" i="1"/>
  <c r="AC27" i="1"/>
  <c r="AA27" i="1"/>
  <c r="J27" i="1"/>
  <c r="AK26" i="1"/>
  <c r="AJ26" i="1"/>
  <c r="AI26" i="1"/>
  <c r="AC26" i="1"/>
  <c r="AA26" i="1"/>
  <c r="J26" i="1"/>
  <c r="AK25" i="1"/>
  <c r="AJ25" i="1"/>
  <c r="AI25" i="1"/>
  <c r="AC25" i="1"/>
  <c r="AA25" i="1"/>
  <c r="J25" i="1"/>
  <c r="AK24" i="1"/>
  <c r="AJ24" i="1"/>
  <c r="AI24" i="1"/>
  <c r="AC24" i="1"/>
  <c r="AA24" i="1"/>
  <c r="J24" i="1"/>
  <c r="AK23" i="1"/>
  <c r="AJ23" i="1"/>
  <c r="AI23" i="1"/>
  <c r="AC23" i="1"/>
  <c r="AA23" i="1"/>
  <c r="J23" i="1"/>
  <c r="AK22" i="1"/>
  <c r="AJ22" i="1"/>
  <c r="AI22" i="1"/>
  <c r="AC22" i="1"/>
  <c r="AA22" i="1"/>
  <c r="J22" i="1"/>
  <c r="AK21" i="1"/>
  <c r="AJ21" i="1"/>
  <c r="AI21" i="1"/>
  <c r="AC21" i="1"/>
  <c r="AA21" i="1"/>
  <c r="J21" i="1"/>
  <c r="AK20" i="1"/>
  <c r="AJ20" i="1"/>
  <c r="AI20" i="1"/>
  <c r="AC20" i="1"/>
  <c r="AA20" i="1"/>
  <c r="J20" i="1"/>
  <c r="AK19" i="1"/>
  <c r="AJ19" i="1"/>
  <c r="AI19" i="1"/>
  <c r="AC19" i="1"/>
  <c r="AA19" i="1"/>
  <c r="J19" i="1"/>
  <c r="AK18" i="1"/>
  <c r="AJ18" i="1"/>
  <c r="AI18" i="1"/>
  <c r="AC18" i="1"/>
  <c r="AA18" i="1"/>
  <c r="J18" i="1"/>
  <c r="AK17" i="1"/>
  <c r="AJ17" i="1"/>
  <c r="AI17" i="1"/>
  <c r="AC17" i="1"/>
  <c r="AA17" i="1"/>
  <c r="J17" i="1"/>
  <c r="AK16" i="1"/>
  <c r="AJ16" i="1"/>
  <c r="AI16" i="1"/>
  <c r="AC16" i="1"/>
  <c r="AA16" i="1"/>
  <c r="J16" i="1"/>
  <c r="AK15" i="1"/>
  <c r="AJ15" i="1"/>
  <c r="AI15" i="1"/>
  <c r="AC15" i="1"/>
  <c r="AA15" i="1"/>
  <c r="J15" i="1"/>
  <c r="AK14" i="1"/>
  <c r="AJ14" i="1"/>
  <c r="AI14" i="1"/>
  <c r="AC14" i="1"/>
  <c r="AA14" i="1"/>
  <c r="J14" i="1"/>
  <c r="AK13" i="1"/>
  <c r="AJ13" i="1"/>
  <c r="AI13" i="1"/>
  <c r="AC13" i="1"/>
  <c r="AA13" i="1"/>
  <c r="J13" i="1"/>
  <c r="AK12" i="1"/>
  <c r="AJ12" i="1"/>
  <c r="AI12" i="1"/>
  <c r="AC12" i="1"/>
  <c r="AA12" i="1"/>
  <c r="J12" i="1"/>
  <c r="AK11" i="1"/>
  <c r="AJ11" i="1"/>
  <c r="AI11" i="1"/>
  <c r="AC11" i="1"/>
  <c r="AA11" i="1"/>
  <c r="J11" i="1"/>
  <c r="AK10" i="1"/>
  <c r="AJ10" i="1"/>
  <c r="AI10" i="1"/>
  <c r="AC10" i="1"/>
  <c r="AA10" i="1"/>
  <c r="J10" i="1"/>
  <c r="AK9" i="1"/>
  <c r="AJ9" i="1"/>
  <c r="AI9" i="1"/>
  <c r="AC9" i="1"/>
  <c r="AA9" i="1"/>
  <c r="J9" i="1"/>
  <c r="AK8" i="1"/>
  <c r="AJ8" i="1"/>
  <c r="AI8" i="1"/>
  <c r="AC8" i="1"/>
  <c r="AA8" i="1"/>
  <c r="J8" i="1"/>
  <c r="AK7" i="1"/>
  <c r="AJ7" i="1"/>
  <c r="AI7" i="1"/>
  <c r="AC7" i="1"/>
  <c r="AA7" i="1"/>
  <c r="J7" i="1"/>
  <c r="AK6" i="1"/>
  <c r="AJ6" i="1"/>
  <c r="AI6" i="1"/>
  <c r="AC6" i="1"/>
  <c r="AA6" i="1"/>
  <c r="J6" i="1"/>
  <c r="AK5" i="1"/>
  <c r="AJ5" i="1"/>
  <c r="AI5" i="1"/>
  <c r="AC5" i="1"/>
  <c r="AA5" i="1"/>
  <c r="J5" i="1"/>
  <c r="AK4" i="1"/>
  <c r="AJ4" i="1"/>
  <c r="AI4" i="1"/>
  <c r="AC4" i="1"/>
  <c r="AA4" i="1"/>
  <c r="J4" i="1"/>
  <c r="AK3" i="1"/>
  <c r="AJ3" i="1"/>
  <c r="AI3" i="1"/>
  <c r="AC3" i="1"/>
  <c r="AA3" i="1"/>
  <c r="J3" i="1"/>
</calcChain>
</file>

<file path=xl/sharedStrings.xml><?xml version="1.0" encoding="utf-8"?>
<sst xmlns="http://schemas.openxmlformats.org/spreadsheetml/2006/main" count="6334" uniqueCount="1524">
  <si>
    <t>Plotcode: RUS01</t>
  </si>
  <si>
    <t>Plot Name: REBIO Augusto Ruschi</t>
  </si>
  <si>
    <t>Date: 26/11/2014</t>
  </si>
  <si>
    <t>Team: GC Ottino, S Pessoa, LF Gonçalves, VS Faller, R Zinato, N Santos, CE Mello, D Couto, MD Koeler, VC Manhães, MC Antonicelli, I Gasparini,  HC Lima, AM Amorim, G Heringuer,  PL Viana &amp; DC Cardoso</t>
  </si>
  <si>
    <t>New Tag No</t>
  </si>
  <si>
    <t>New Stem Grouping</t>
  </si>
  <si>
    <t>T1</t>
  </si>
  <si>
    <t>T2</t>
  </si>
  <si>
    <t>X</t>
  </si>
  <si>
    <t>Y</t>
  </si>
  <si>
    <t>Family</t>
  </si>
  <si>
    <t>Original determination</t>
  </si>
  <si>
    <t>Morphospecies</t>
  </si>
  <si>
    <t>D</t>
  </si>
  <si>
    <t>POM</t>
  </si>
  <si>
    <t>ExtraD</t>
  </si>
  <si>
    <t>ExtraPOM</t>
  </si>
  <si>
    <t>Flag1</t>
  </si>
  <si>
    <t>Flag2</t>
  </si>
  <si>
    <t>Flag3</t>
  </si>
  <si>
    <t>LI</t>
  </si>
  <si>
    <t>CI</t>
  </si>
  <si>
    <t>CF</t>
  </si>
  <si>
    <t>CD1</t>
  </si>
  <si>
    <t>nrdups</t>
  </si>
  <si>
    <t>Height</t>
  </si>
  <si>
    <t>Voucher</t>
  </si>
  <si>
    <t xml:space="preserve"> Silica</t>
  </si>
  <si>
    <t>Collected</t>
  </si>
  <si>
    <t>Census Notes</t>
  </si>
  <si>
    <t xml:space="preserve">  </t>
  </si>
  <si>
    <t>CAP</t>
  </si>
  <si>
    <t>Basal Area</t>
  </si>
  <si>
    <t>2.5</t>
  </si>
  <si>
    <t>Myrtaceae</t>
  </si>
  <si>
    <t>Indet indet</t>
  </si>
  <si>
    <t>Casca doce</t>
  </si>
  <si>
    <t>q</t>
  </si>
  <si>
    <t>3b</t>
  </si>
  <si>
    <t>GCO1001</t>
  </si>
  <si>
    <t>Yes</t>
  </si>
  <si>
    <t xml:space="preserve">face abaxial ferrugínea. </t>
  </si>
  <si>
    <t>Rubiaceae</t>
  </si>
  <si>
    <t>Simira eliezeriana</t>
  </si>
  <si>
    <t>fy</t>
  </si>
  <si>
    <t>GCO1002</t>
  </si>
  <si>
    <t>corola verde, anteras vináceas, fruto imaturo verde escuro.</t>
  </si>
  <si>
    <t>Lauraceae</t>
  </si>
  <si>
    <t>Ocotea indet</t>
  </si>
  <si>
    <t>GCO1003</t>
  </si>
  <si>
    <t>raiz tabular pequena, casca com placas avermelhadas diminutas</t>
  </si>
  <si>
    <t>9.5</t>
  </si>
  <si>
    <t>7.5</t>
  </si>
  <si>
    <t>Ocotea odorifera</t>
  </si>
  <si>
    <t>a</t>
  </si>
  <si>
    <t>2c</t>
  </si>
  <si>
    <t>GCO1004</t>
  </si>
  <si>
    <t>Frutos cryptocarya caidos no chão ao lado do espécime</t>
  </si>
  <si>
    <t>8.5</t>
  </si>
  <si>
    <t>Leguminosae</t>
  </si>
  <si>
    <t xml:space="preserve">Chamaecrista ensiformis </t>
  </si>
  <si>
    <t>c</t>
  </si>
  <si>
    <t>GCO1005</t>
  </si>
  <si>
    <t>Arecaceae</t>
  </si>
  <si>
    <t>Euterpe edulis</t>
  </si>
  <si>
    <t>GCO1006</t>
  </si>
  <si>
    <t>Sapotaceae</t>
  </si>
  <si>
    <t>Ecclinusa ramiflora</t>
  </si>
  <si>
    <t>GCO1007</t>
  </si>
  <si>
    <t>folhas obovadas com nervuras terciárias paralelas</t>
  </si>
  <si>
    <t>Annonaceae</t>
  </si>
  <si>
    <t>Pseudoxandra spiritus-sancti</t>
  </si>
  <si>
    <t>Annonaceae 1</t>
  </si>
  <si>
    <t>GCO1008</t>
  </si>
  <si>
    <t>nome popular: envira preta</t>
  </si>
  <si>
    <t>5.5</t>
  </si>
  <si>
    <t>Elaeocarpaceae</t>
  </si>
  <si>
    <t>Sloanea indet</t>
  </si>
  <si>
    <t>GCO1009</t>
  </si>
  <si>
    <t>0.1</t>
  </si>
  <si>
    <t>GCO1010</t>
  </si>
  <si>
    <t>b</t>
  </si>
  <si>
    <t>GCO1011</t>
  </si>
  <si>
    <t>fuste quebrado a 4m de altura</t>
  </si>
  <si>
    <t>9.7</t>
  </si>
  <si>
    <t>Pouteria bangi</t>
  </si>
  <si>
    <t>det: Quintet 5/11/25</t>
  </si>
  <si>
    <t>GCO1012</t>
  </si>
  <si>
    <t>folhas cartáceas com nervuras terciárias anastomosadas</t>
  </si>
  <si>
    <t>Strombosiaceae</t>
  </si>
  <si>
    <t>Tetrastylidium grandifolium</t>
  </si>
  <si>
    <t>GCO1013</t>
  </si>
  <si>
    <t>0.5</t>
  </si>
  <si>
    <t>GCO1014</t>
  </si>
  <si>
    <t>1.7</t>
  </si>
  <si>
    <t>Eugenia candolleana</t>
  </si>
  <si>
    <t>GCO1015</t>
  </si>
  <si>
    <t>ramos com indumento ferrugíneo</t>
  </si>
  <si>
    <t>GCO1016</t>
  </si>
  <si>
    <t>Ocotea divaricata</t>
  </si>
  <si>
    <t>GCO1017</t>
  </si>
  <si>
    <t>Myrcia 1</t>
  </si>
  <si>
    <t>GCO1018</t>
  </si>
  <si>
    <t>ritidoma com placas vináceas, corola alva</t>
  </si>
  <si>
    <t>Meliaceae</t>
  </si>
  <si>
    <t xml:space="preserve">Trichilia lepidota </t>
  </si>
  <si>
    <t>GCO1019</t>
  </si>
  <si>
    <t xml:space="preserve">casca interna com odor </t>
  </si>
  <si>
    <t>Celastraceae</t>
  </si>
  <si>
    <t>GCO1020</t>
  </si>
  <si>
    <t>GCO1021</t>
  </si>
  <si>
    <t>3.5</t>
  </si>
  <si>
    <t>Euphorbiaceae</t>
  </si>
  <si>
    <t>GCO1022</t>
  </si>
  <si>
    <t>Indet</t>
  </si>
  <si>
    <t>GCO1023</t>
  </si>
  <si>
    <t xml:space="preserve">Psychotria carthagenensis </t>
  </si>
  <si>
    <t>eg</t>
  </si>
  <si>
    <t>GCO1024</t>
  </si>
  <si>
    <t>Casca com placas escamadas na textura de couro de jacaré</t>
  </si>
  <si>
    <t>GCO1025</t>
  </si>
  <si>
    <t>4.5</t>
  </si>
  <si>
    <t>9.3</t>
  </si>
  <si>
    <t>GCO1026</t>
  </si>
  <si>
    <t>casca com cheiro de Feijão, fuste retilíneo</t>
  </si>
  <si>
    <t>9.6</t>
  </si>
  <si>
    <t>Caricaceae</t>
  </si>
  <si>
    <t>Jacaratia spinosa</t>
  </si>
  <si>
    <t>GCO1027</t>
  </si>
  <si>
    <t>Myrcia excoriata</t>
  </si>
  <si>
    <t xml:space="preserve">Eugenia 1 </t>
  </si>
  <si>
    <t>GCO1028</t>
  </si>
  <si>
    <t xml:space="preserve">tronco esverdeado, botões de coloração alva. </t>
  </si>
  <si>
    <t>GCO1029</t>
  </si>
  <si>
    <t>2b</t>
  </si>
  <si>
    <t>GCO1030</t>
  </si>
  <si>
    <t>presença de acúleos</t>
  </si>
  <si>
    <t>Myristicaceae</t>
  </si>
  <si>
    <t>Virola bicuhyba</t>
  </si>
  <si>
    <t>GCO1031</t>
  </si>
  <si>
    <t>nome popular: bicuíba.</t>
  </si>
  <si>
    <t>Pausandra morisiana</t>
  </si>
  <si>
    <t>Pouteria 2</t>
  </si>
  <si>
    <t>GCO1032</t>
  </si>
  <si>
    <t>folhas cartáceas com nervuras terciárias anastomosadas.</t>
  </si>
  <si>
    <t>Clusiaceae</t>
  </si>
  <si>
    <t>Tovomita fructipendula</t>
  </si>
  <si>
    <t>GCO1033</t>
  </si>
  <si>
    <t>Pouteria bangii</t>
  </si>
  <si>
    <t>GCO1034</t>
  </si>
  <si>
    <t>4.8</t>
  </si>
  <si>
    <t>GCO1035</t>
  </si>
  <si>
    <t>3a</t>
  </si>
  <si>
    <t>GCO1036</t>
  </si>
  <si>
    <t>Folhas grandes com indumento e ápice caudado</t>
  </si>
  <si>
    <t>Myrcia plusiantha</t>
  </si>
  <si>
    <t>GCO1037</t>
  </si>
  <si>
    <t xml:space="preserve">folhas discolores, flores  com petalas verde amarelado e indumento ferrugíneo. </t>
  </si>
  <si>
    <t>Trichilia indet</t>
  </si>
  <si>
    <t>GCO1038</t>
  </si>
  <si>
    <t xml:space="preserve">Casca interna laranja. Presença de lianas. </t>
  </si>
  <si>
    <t>Guatteria sellowiana</t>
  </si>
  <si>
    <t>GCO1039</t>
  </si>
  <si>
    <t>Alchornea triplinervia</t>
  </si>
  <si>
    <t>GCO1040</t>
  </si>
  <si>
    <t>GCO1041</t>
  </si>
  <si>
    <t>Monimiaceae</t>
  </si>
  <si>
    <t xml:space="preserve">Mollinedia indet </t>
  </si>
  <si>
    <t>GCO1042</t>
  </si>
  <si>
    <t>Inga marginata</t>
  </si>
  <si>
    <t>GCO1043</t>
  </si>
  <si>
    <t>GCO1044</t>
  </si>
  <si>
    <t>1.6</t>
  </si>
  <si>
    <t>GCO1045</t>
  </si>
  <si>
    <t>1.5</t>
  </si>
  <si>
    <t>GCO1046</t>
  </si>
  <si>
    <t>GCO1047</t>
  </si>
  <si>
    <t>GCO1048</t>
  </si>
  <si>
    <t>Phyllanthaceae</t>
  </si>
  <si>
    <t>Hieronyma alchorneoides</t>
  </si>
  <si>
    <t>GCO1049</t>
  </si>
  <si>
    <t>Sloanea hirsuta</t>
  </si>
  <si>
    <t>GCO1050</t>
  </si>
  <si>
    <t>unifoliolada</t>
  </si>
  <si>
    <t>GCO1051</t>
  </si>
  <si>
    <t>GCO1052</t>
  </si>
  <si>
    <t>GCO1053</t>
  </si>
  <si>
    <t>Nectandra indet</t>
  </si>
  <si>
    <t>GCO1054</t>
  </si>
  <si>
    <t>Aniba firmula</t>
  </si>
  <si>
    <t>GCO1055</t>
  </si>
  <si>
    <t>GCO1056</t>
  </si>
  <si>
    <t xml:space="preserve">Indet indet </t>
  </si>
  <si>
    <t>GCO1057</t>
  </si>
  <si>
    <t xml:space="preserve">Face abaxial ferrugínea, folhas discolores. </t>
  </si>
  <si>
    <t>GCO1058</t>
  </si>
  <si>
    <t>GCO1059</t>
  </si>
  <si>
    <t>GCO1060</t>
  </si>
  <si>
    <t>GCO1061</t>
  </si>
  <si>
    <t>GCO1062</t>
  </si>
  <si>
    <t>Casca interna vinácea</t>
  </si>
  <si>
    <t>1.8</t>
  </si>
  <si>
    <t>Nyctaginaceae</t>
  </si>
  <si>
    <t>Guapira indet</t>
  </si>
  <si>
    <t>GCO1063</t>
  </si>
  <si>
    <t>Cordiaceae</t>
  </si>
  <si>
    <t>Cordia trichoclada</t>
  </si>
  <si>
    <t>GCO1064</t>
  </si>
  <si>
    <t>folhas com tricomas ferrugíneos</t>
  </si>
  <si>
    <t>GCO1065</t>
  </si>
  <si>
    <t>bulada</t>
  </si>
  <si>
    <t>GCO1066</t>
  </si>
  <si>
    <t>GCO1067</t>
  </si>
  <si>
    <t>Chrysobalanaceae</t>
  </si>
  <si>
    <t>Licania indet</t>
  </si>
  <si>
    <t>GCO1068</t>
  </si>
  <si>
    <t xml:space="preserve">Cryptocarya aschersoniana </t>
  </si>
  <si>
    <t>fértil</t>
  </si>
  <si>
    <t>cq</t>
  </si>
  <si>
    <t>GCO1069</t>
  </si>
  <si>
    <t xml:space="preserve">botões creme-esverdeados, cálice com indumento ferruginoso, folhas membranáceas com ramos jovens avermelhados.  </t>
  </si>
  <si>
    <t>Inga menconcei</t>
  </si>
  <si>
    <t>GCO1070</t>
  </si>
  <si>
    <t>GCO1071</t>
  </si>
  <si>
    <t>Simaroubaceae</t>
  </si>
  <si>
    <t xml:space="preserve">Simarouba amara </t>
  </si>
  <si>
    <t>GCO1072</t>
  </si>
  <si>
    <t>Hirtella hebclada</t>
  </si>
  <si>
    <t>Myrtaceae 1</t>
  </si>
  <si>
    <t>GCO1073</t>
  </si>
  <si>
    <t>GCO1074</t>
  </si>
  <si>
    <t>Sapindaceae</t>
  </si>
  <si>
    <t>Allophylus indet</t>
  </si>
  <si>
    <t>GCO1075</t>
  </si>
  <si>
    <t>Inga indet</t>
  </si>
  <si>
    <t>GCO1076</t>
  </si>
  <si>
    <t>GCO1077</t>
  </si>
  <si>
    <t>Pouteria indet</t>
  </si>
  <si>
    <t>GCO1078</t>
  </si>
  <si>
    <t>GCO1079</t>
  </si>
  <si>
    <t xml:space="preserve">Yes </t>
  </si>
  <si>
    <t>cresimento monopodial, nome popular: nvira preta</t>
  </si>
  <si>
    <t>Araliaceae</t>
  </si>
  <si>
    <t>Didymopanax calvus</t>
  </si>
  <si>
    <t>GCO1080</t>
  </si>
  <si>
    <t xml:space="preserve">Micropholis venulosa </t>
  </si>
  <si>
    <t>eq</t>
  </si>
  <si>
    <t>GCO1081</t>
  </si>
  <si>
    <t>presença de látex</t>
  </si>
  <si>
    <t>GCO1082</t>
  </si>
  <si>
    <t>GCO1083</t>
  </si>
  <si>
    <t>Combretaceae</t>
  </si>
  <si>
    <t>i</t>
  </si>
  <si>
    <t>GCO1084</t>
  </si>
  <si>
    <t>Annonaceae 2</t>
  </si>
  <si>
    <t>GCO1085</t>
  </si>
  <si>
    <t>GCO1086</t>
  </si>
  <si>
    <t>GCO1087</t>
  </si>
  <si>
    <t>bq</t>
  </si>
  <si>
    <t xml:space="preserve">2a </t>
  </si>
  <si>
    <t>GCO1089</t>
  </si>
  <si>
    <t>quebrada a 2m com rebroto desenvolvido</t>
  </si>
  <si>
    <t>Guarea macrophylla</t>
  </si>
  <si>
    <t>GCO1090</t>
  </si>
  <si>
    <t>4.3</t>
  </si>
  <si>
    <t>cf</t>
  </si>
  <si>
    <t>GCO1091</t>
  </si>
  <si>
    <t xml:space="preserve">caule avermelhado, folhas membranáceas com indumento. </t>
  </si>
  <si>
    <t>GCO1092</t>
  </si>
  <si>
    <t>GCO1093</t>
  </si>
  <si>
    <t>Ocotea indecora</t>
  </si>
  <si>
    <t>GCO1094</t>
  </si>
  <si>
    <t>Linaceae</t>
  </si>
  <si>
    <t>Roucheria indet</t>
  </si>
  <si>
    <t>GCO1095</t>
  </si>
  <si>
    <t>Myrcia schottii</t>
  </si>
  <si>
    <t>Myrtaceae 4</t>
  </si>
  <si>
    <t>GCO1096</t>
  </si>
  <si>
    <t>Proteaceae</t>
  </si>
  <si>
    <t>Roupala consimilis</t>
  </si>
  <si>
    <t>GCO1097</t>
  </si>
  <si>
    <t>6.5</t>
  </si>
  <si>
    <t>GCO1098</t>
  </si>
  <si>
    <t>Anaxagorea indet</t>
  </si>
  <si>
    <t>GCO1099</t>
  </si>
  <si>
    <t>folhas membranáceas com tricomas ferrugíneos.</t>
  </si>
  <si>
    <t>GCO1100</t>
  </si>
  <si>
    <t>Inflorescência espiciforme, corola alva.</t>
  </si>
  <si>
    <t>GCO1101</t>
  </si>
  <si>
    <t>GCO1102</t>
  </si>
  <si>
    <t>Dendropanax sp. nov.</t>
  </si>
  <si>
    <t>5 dups</t>
  </si>
  <si>
    <t>GCO1103</t>
  </si>
  <si>
    <t>raque da inflorescência e botões de coloração verde claro, folhas membranáceas levemente discolores na face abaxial</t>
  </si>
  <si>
    <t>Margaritaria nobilis</t>
  </si>
  <si>
    <t>GCO1104</t>
  </si>
  <si>
    <t>Xylopia decorticans</t>
  </si>
  <si>
    <t>e</t>
  </si>
  <si>
    <t>GCO1105</t>
  </si>
  <si>
    <t xml:space="preserve">folhas cartáceas, ritidoma avermelhado descamante </t>
  </si>
  <si>
    <t>talvez tenha 2 no mesmo n</t>
  </si>
  <si>
    <t>GCO1106</t>
  </si>
  <si>
    <t>GCO1107</t>
  </si>
  <si>
    <t>Frutos de xylopia no chão ao lado.</t>
  </si>
  <si>
    <t>Chamaecrista ensiformis</t>
  </si>
  <si>
    <t>GCO1108</t>
  </si>
  <si>
    <t>Quebrada em 4m com 4 rebrotos.</t>
  </si>
  <si>
    <t xml:space="preserve"> </t>
  </si>
  <si>
    <t xml:space="preserve">a </t>
  </si>
  <si>
    <t>GCO1109</t>
  </si>
  <si>
    <t>Tovomita riedeliana</t>
  </si>
  <si>
    <t>GCO1110</t>
  </si>
  <si>
    <t>presença de látex amarelo.</t>
  </si>
  <si>
    <t>Myrcia pubipetala</t>
  </si>
  <si>
    <t>Myrtaceae 7</t>
  </si>
  <si>
    <t xml:space="preserve"> 3b</t>
  </si>
  <si>
    <t>GCO1111</t>
  </si>
  <si>
    <t>Flores de polygalaceae caídas no solo ao lado</t>
  </si>
  <si>
    <t>GCO1112</t>
  </si>
  <si>
    <t>corola esverdeada</t>
  </si>
  <si>
    <t xml:space="preserve">Ixora brevifolia </t>
  </si>
  <si>
    <t>GCO1113</t>
  </si>
  <si>
    <t>Presença de liana com 10,8 cm de Cap.</t>
  </si>
  <si>
    <t>Chrysophyllum indet</t>
  </si>
  <si>
    <t>Chrysophyllum 1</t>
  </si>
  <si>
    <t>GCO1114</t>
  </si>
  <si>
    <t>Presença de liana</t>
  </si>
  <si>
    <t>GCO1115</t>
  </si>
  <si>
    <t>Ocotea brachybotrya</t>
  </si>
  <si>
    <t>GCO1116</t>
  </si>
  <si>
    <t xml:space="preserve"> igual a 859</t>
  </si>
  <si>
    <t>GCO1117</t>
  </si>
  <si>
    <t>nome popular: araticum</t>
  </si>
  <si>
    <t>Malvaceae</t>
  </si>
  <si>
    <t>Eriotheca macrophylla</t>
  </si>
  <si>
    <t>GCO1118</t>
  </si>
  <si>
    <t xml:space="preserve">Presença de liana. </t>
  </si>
  <si>
    <t>38.5</t>
  </si>
  <si>
    <t>GCO1119</t>
  </si>
  <si>
    <t>GCO1120</t>
  </si>
  <si>
    <t>GCO1121</t>
  </si>
  <si>
    <t>GCO1122</t>
  </si>
  <si>
    <t>Chrysobalanus atlanticus</t>
  </si>
  <si>
    <t>GCO1123</t>
  </si>
  <si>
    <t>GCO1124</t>
  </si>
  <si>
    <t>GCO1125</t>
  </si>
  <si>
    <t>folhas membranáceas discolores</t>
  </si>
  <si>
    <t>GCO1126</t>
  </si>
  <si>
    <t>Couepia sp.</t>
  </si>
  <si>
    <t>GCO1127</t>
  </si>
  <si>
    <t>7.3</t>
  </si>
  <si>
    <t>GCO1128</t>
  </si>
  <si>
    <t>GCO1129</t>
  </si>
  <si>
    <t>GCO1130</t>
  </si>
  <si>
    <t>Croton urucurana</t>
  </si>
  <si>
    <t>GCO1131</t>
  </si>
  <si>
    <t xml:space="preserve">Folhas asperas discolores. </t>
  </si>
  <si>
    <t>Bathysa indet</t>
  </si>
  <si>
    <t>GCO1132</t>
  </si>
  <si>
    <t>GCO1133</t>
  </si>
  <si>
    <t>Aquifoliaceae</t>
  </si>
  <si>
    <t>Ilex dumosa</t>
  </si>
  <si>
    <t>GCO1134</t>
  </si>
  <si>
    <t>GCO1135</t>
  </si>
  <si>
    <t>3.2</t>
  </si>
  <si>
    <t>GCO1136</t>
  </si>
  <si>
    <t>GCO1137</t>
  </si>
  <si>
    <t>GCO1138</t>
  </si>
  <si>
    <t>GCO1139</t>
  </si>
  <si>
    <t>GCO1140</t>
  </si>
  <si>
    <t>espécime de Philodendron propincon subindo no fuste</t>
  </si>
  <si>
    <t>GCO1141</t>
  </si>
  <si>
    <t>GCO1142</t>
  </si>
  <si>
    <t>Tronco marrom</t>
  </si>
  <si>
    <t>Papante</t>
  </si>
  <si>
    <t>GCO1143</t>
  </si>
  <si>
    <t>GCO1144</t>
  </si>
  <si>
    <t>Micropholis indet</t>
  </si>
  <si>
    <t>Chrysophyllum 2</t>
  </si>
  <si>
    <t>GCO1145</t>
  </si>
  <si>
    <t>Caule ferrugíneo</t>
  </si>
  <si>
    <t>Aptandraceae</t>
  </si>
  <si>
    <t>Cathedra grandiflora</t>
  </si>
  <si>
    <t>GCO1146</t>
  </si>
  <si>
    <t>cálice esverdeado, corola amarelada.</t>
  </si>
  <si>
    <t>Couepia rufa</t>
  </si>
  <si>
    <t>GCO1147</t>
  </si>
  <si>
    <t>GCO1148</t>
  </si>
  <si>
    <t>Tag a  160cm. Fértil. Vespeiro.</t>
  </si>
  <si>
    <t>GCO1149</t>
  </si>
  <si>
    <t>GCO1150</t>
  </si>
  <si>
    <t>GCO1151</t>
  </si>
  <si>
    <t>3.8</t>
  </si>
  <si>
    <t>Tovomita indet</t>
  </si>
  <si>
    <t>GCO1152</t>
  </si>
  <si>
    <t>Cryptocarya indet</t>
  </si>
  <si>
    <t>GCO1153</t>
  </si>
  <si>
    <t>GCO1154</t>
  </si>
  <si>
    <t>#</t>
  </si>
  <si>
    <t>GCO1155</t>
  </si>
  <si>
    <t>Presença de látex branco. Espécime de Passiflora subindo no fuste</t>
  </si>
  <si>
    <t>3.6</t>
  </si>
  <si>
    <t>GCO1156</t>
  </si>
  <si>
    <t>GCO1157</t>
  </si>
  <si>
    <t>Salicaceae</t>
  </si>
  <si>
    <t>GCO1158</t>
  </si>
  <si>
    <t>GCO1159</t>
  </si>
  <si>
    <t>GCO1160</t>
  </si>
  <si>
    <t>sem folhas/ n coletada</t>
  </si>
  <si>
    <t>Piparea multiflora</t>
  </si>
  <si>
    <t>GCO1161</t>
  </si>
  <si>
    <t xml:space="preserve">Chrysophyllum 1 </t>
  </si>
  <si>
    <t>GCO1162</t>
  </si>
  <si>
    <t>Pausandra</t>
  </si>
  <si>
    <t>GCO1163</t>
  </si>
  <si>
    <t>GCO1164</t>
  </si>
  <si>
    <t>GCO1165</t>
  </si>
  <si>
    <t xml:space="preserve">Micropholis indet </t>
  </si>
  <si>
    <t>GCO1166</t>
  </si>
  <si>
    <t>GCO1167</t>
  </si>
  <si>
    <t>GCO1168</t>
  </si>
  <si>
    <t>GCO1169</t>
  </si>
  <si>
    <t>GCO1170</t>
  </si>
  <si>
    <t>Copaifera trapezifolia</t>
  </si>
  <si>
    <t>GCO1171</t>
  </si>
  <si>
    <t>GCO1172</t>
  </si>
  <si>
    <t>yes</t>
  </si>
  <si>
    <t>GCO1173</t>
  </si>
  <si>
    <t>tronco de coloração bege.</t>
  </si>
  <si>
    <t>GCO1174</t>
  </si>
  <si>
    <t>GCO1175</t>
  </si>
  <si>
    <t>GCO1176</t>
  </si>
  <si>
    <t>8.3</t>
  </si>
  <si>
    <t>GCO1177</t>
  </si>
  <si>
    <t>GCO1178</t>
  </si>
  <si>
    <t>f</t>
  </si>
  <si>
    <t>GCO1179</t>
  </si>
  <si>
    <t>Trichilia silvatica</t>
  </si>
  <si>
    <t>GCO1180</t>
  </si>
  <si>
    <t>GCO1181</t>
  </si>
  <si>
    <t>GCO1182</t>
  </si>
  <si>
    <t>Molinedia dolichotricha</t>
  </si>
  <si>
    <t>GCO1183</t>
  </si>
  <si>
    <t>igual a 212</t>
  </si>
  <si>
    <t>GCO1184</t>
  </si>
  <si>
    <t>GCO1185</t>
  </si>
  <si>
    <t>Cordiera indet</t>
  </si>
  <si>
    <t>igual a 372</t>
  </si>
  <si>
    <t>GCO1186</t>
  </si>
  <si>
    <t xml:space="preserve">tronco com fissuras longitudinais alaranjadas, domácias redondas na face abaxial </t>
  </si>
  <si>
    <t>GCO1187</t>
  </si>
  <si>
    <t>Inga hispida</t>
  </si>
  <si>
    <t>4b</t>
  </si>
  <si>
    <t>GCO1188</t>
  </si>
  <si>
    <t>indet indet</t>
  </si>
  <si>
    <t>GCO1189</t>
  </si>
  <si>
    <t>GCO1190</t>
  </si>
  <si>
    <t>GCO1191</t>
  </si>
  <si>
    <t>GCO1192</t>
  </si>
  <si>
    <t>GCO1193</t>
  </si>
  <si>
    <t>GCO1194</t>
  </si>
  <si>
    <t>Tachigali indet</t>
  </si>
  <si>
    <t>GCO1195</t>
  </si>
  <si>
    <t>GCO1196</t>
  </si>
  <si>
    <t>GCO1197</t>
  </si>
  <si>
    <t>GCO1198</t>
  </si>
  <si>
    <t>GCO1199</t>
  </si>
  <si>
    <t>Malpighiaceae</t>
  </si>
  <si>
    <t xml:space="preserve">Byrsonima persseifolia </t>
  </si>
  <si>
    <t>GCO1200</t>
  </si>
  <si>
    <t>GCO1201</t>
  </si>
  <si>
    <t xml:space="preserve">Caulifloria </t>
  </si>
  <si>
    <t>Manilkara cf. longifolia</t>
  </si>
  <si>
    <t>GCO1202</t>
  </si>
  <si>
    <t>GCO1203</t>
  </si>
  <si>
    <t>GCO1204</t>
  </si>
  <si>
    <t>GCO1205</t>
  </si>
  <si>
    <t>Licania areolata</t>
  </si>
  <si>
    <t>GCO1206</t>
  </si>
  <si>
    <t>9.2</t>
  </si>
  <si>
    <t>7.6</t>
  </si>
  <si>
    <t>Hymenaea indet</t>
  </si>
  <si>
    <t>GCO1207</t>
  </si>
  <si>
    <t>GCO1208</t>
  </si>
  <si>
    <t>Bathysa stipulata</t>
  </si>
  <si>
    <t>igual a 629</t>
  </si>
  <si>
    <t>fq</t>
  </si>
  <si>
    <t>GCO1209</t>
  </si>
  <si>
    <t>GCO1210</t>
  </si>
  <si>
    <t>Merostachys floridos</t>
  </si>
  <si>
    <t>9.8</t>
  </si>
  <si>
    <t>Cabralea canjerana</t>
  </si>
  <si>
    <t>GCO1211</t>
  </si>
  <si>
    <t>igual a 184</t>
  </si>
  <si>
    <t>GCO1212</t>
  </si>
  <si>
    <t>Melastomataceae</t>
  </si>
  <si>
    <t>Meriania tetramera</t>
  </si>
  <si>
    <t>GCO1213</t>
  </si>
  <si>
    <t>GCO1214</t>
  </si>
  <si>
    <t>GCO1215</t>
  </si>
  <si>
    <t>GCO1216</t>
  </si>
  <si>
    <t>GCO1217</t>
  </si>
  <si>
    <t>GCO1218</t>
  </si>
  <si>
    <t>Ocotea catharinensis</t>
  </si>
  <si>
    <t>GCO1219</t>
  </si>
  <si>
    <t>GCO1220</t>
  </si>
  <si>
    <t>GCO1221</t>
  </si>
  <si>
    <t>Primulaceae</t>
  </si>
  <si>
    <t>Myrsine umbellata</t>
  </si>
  <si>
    <t>GCO1222</t>
  </si>
  <si>
    <t>Cyatheaceae</t>
  </si>
  <si>
    <t>Cyathea indet</t>
  </si>
  <si>
    <t>GCO1223</t>
  </si>
  <si>
    <t>GCO1224</t>
  </si>
  <si>
    <t>Endlicheria paniculata</t>
  </si>
  <si>
    <t>det Quinet 5/11/25</t>
  </si>
  <si>
    <t>GCO1225</t>
  </si>
  <si>
    <t>GCO1226</t>
  </si>
  <si>
    <t>igual a 403 e 805</t>
  </si>
  <si>
    <t>GCO1227</t>
  </si>
  <si>
    <t>1.2</t>
  </si>
  <si>
    <t>GCO1228</t>
  </si>
  <si>
    <t>GCO1229</t>
  </si>
  <si>
    <t>Botões</t>
  </si>
  <si>
    <t>GCO1230</t>
  </si>
  <si>
    <t>GCO1231</t>
  </si>
  <si>
    <t>Maytenus indet</t>
  </si>
  <si>
    <t xml:space="preserve">igual a </t>
  </si>
  <si>
    <t>GCO1232</t>
  </si>
  <si>
    <t>es</t>
  </si>
  <si>
    <t>GCO1233</t>
  </si>
  <si>
    <t>GCO1234</t>
  </si>
  <si>
    <t>GCO1235</t>
  </si>
  <si>
    <t>GCO1236</t>
  </si>
  <si>
    <t>GCO1237</t>
  </si>
  <si>
    <t>2.2</t>
  </si>
  <si>
    <t>GCO1238</t>
  </si>
  <si>
    <t>GCO1239</t>
  </si>
  <si>
    <t>0.4</t>
  </si>
  <si>
    <t>GCO1240</t>
  </si>
  <si>
    <t>GCO1241</t>
  </si>
  <si>
    <t>GCO1242</t>
  </si>
  <si>
    <t xml:space="preserve">talvez 2 coletadas diferentes </t>
  </si>
  <si>
    <t>GCO1243</t>
  </si>
  <si>
    <t>0.6</t>
  </si>
  <si>
    <t>iz</t>
  </si>
  <si>
    <t>GCO1244</t>
  </si>
  <si>
    <t>morreu</t>
  </si>
  <si>
    <t>8.2</t>
  </si>
  <si>
    <t>0.2</t>
  </si>
  <si>
    <t>Pouteria filipes</t>
  </si>
  <si>
    <t>GCO1245</t>
  </si>
  <si>
    <t>GCO1246</t>
  </si>
  <si>
    <t>8.9</t>
  </si>
  <si>
    <t>GCO1247</t>
  </si>
  <si>
    <t>Látex amarelo.</t>
  </si>
  <si>
    <t>ez</t>
  </si>
  <si>
    <t>GCO1248</t>
  </si>
  <si>
    <t>7.7</t>
  </si>
  <si>
    <t>GCO1249</t>
  </si>
  <si>
    <t>GCO1250</t>
  </si>
  <si>
    <t>GCO1251</t>
  </si>
  <si>
    <t>GCO1252</t>
  </si>
  <si>
    <t>GCO1253</t>
  </si>
  <si>
    <t>2.8</t>
  </si>
  <si>
    <t>GCO1254</t>
  </si>
  <si>
    <t xml:space="preserve">presença de domácias na axila da nervura secundária. </t>
  </si>
  <si>
    <t>GCO1255</t>
  </si>
  <si>
    <t>GCO1256</t>
  </si>
  <si>
    <t>Inga exfoliata</t>
  </si>
  <si>
    <t>GCO1257</t>
  </si>
  <si>
    <t>GCO1258</t>
  </si>
  <si>
    <t>GCO1259</t>
  </si>
  <si>
    <t>Micropholis crassipedicellata</t>
  </si>
  <si>
    <t>GCO1260</t>
  </si>
  <si>
    <t>GCO1261</t>
  </si>
  <si>
    <t xml:space="preserve">corola de coloração creme. </t>
  </si>
  <si>
    <t>Palicourea pleiocephala</t>
  </si>
  <si>
    <t>GCO1262</t>
  </si>
  <si>
    <t>GCO1263</t>
  </si>
  <si>
    <t>Ocotea tabacifolia</t>
  </si>
  <si>
    <t>GCO1264</t>
  </si>
  <si>
    <t>Talisia indet</t>
  </si>
  <si>
    <t>GCO1265</t>
  </si>
  <si>
    <t>GCO1266</t>
  </si>
  <si>
    <t>Pouteria 3</t>
  </si>
  <si>
    <t>GCO1267</t>
  </si>
  <si>
    <t>Myrcia indet</t>
  </si>
  <si>
    <t>GCO1268</t>
  </si>
  <si>
    <t>GCO1269</t>
  </si>
  <si>
    <t>Philodendron millerianum</t>
  </si>
  <si>
    <t>6.2</t>
  </si>
  <si>
    <t>GCO1270</t>
  </si>
  <si>
    <t>2.3</t>
  </si>
  <si>
    <t>GCO1271</t>
  </si>
  <si>
    <t>seca/morreu</t>
  </si>
  <si>
    <t>GCO1272</t>
  </si>
  <si>
    <t>GCO1274</t>
  </si>
  <si>
    <t>2.1</t>
  </si>
  <si>
    <t>Roupala cf. montana</t>
  </si>
  <si>
    <t>GCO1275</t>
  </si>
  <si>
    <t>inflorescência com indumento ferruginoso</t>
  </si>
  <si>
    <t>0.8</t>
  </si>
  <si>
    <t>GCO1276</t>
  </si>
  <si>
    <t>5.8</t>
  </si>
  <si>
    <t>GCO1277</t>
  </si>
  <si>
    <t>Psidium indet</t>
  </si>
  <si>
    <t>GCO1278</t>
  </si>
  <si>
    <t>Frutos imaturos verdes com manchas rosadas, endocarpo rosa.</t>
  </si>
  <si>
    <t>GCO1279</t>
  </si>
  <si>
    <t>0.3</t>
  </si>
  <si>
    <t>GCO1280</t>
  </si>
  <si>
    <t>GCO1281</t>
  </si>
  <si>
    <t>GCO1282</t>
  </si>
  <si>
    <t>GCO1283</t>
  </si>
  <si>
    <t>GCO1284</t>
  </si>
  <si>
    <t>Caule verde. Machaerium perto</t>
  </si>
  <si>
    <t>GCO1285</t>
  </si>
  <si>
    <t>GCO1286</t>
  </si>
  <si>
    <t>Casca branca, entrecasca vermelha.</t>
  </si>
  <si>
    <t>GCO1287</t>
  </si>
  <si>
    <t>igual 24.</t>
  </si>
  <si>
    <t>GCO1288</t>
  </si>
  <si>
    <t>GCO1289</t>
  </si>
  <si>
    <t>GCO1290</t>
  </si>
  <si>
    <t>GCO1291</t>
  </si>
  <si>
    <t>Fértil</t>
  </si>
  <si>
    <t>GCO1292</t>
  </si>
  <si>
    <t>GCO1293</t>
  </si>
  <si>
    <t>GCO1294</t>
  </si>
  <si>
    <t>GCO1295</t>
  </si>
  <si>
    <t>GCO1296</t>
  </si>
  <si>
    <t>zi</t>
  </si>
  <si>
    <t>GCO1297</t>
  </si>
  <si>
    <t>4.6</t>
  </si>
  <si>
    <t>GCO1298</t>
  </si>
  <si>
    <t>Rhodostemonodaphne anomala</t>
  </si>
  <si>
    <t>GCO1299</t>
  </si>
  <si>
    <t>GCO1300</t>
  </si>
  <si>
    <t>folha alterna e por vezes oposta, margem lisa</t>
  </si>
  <si>
    <t>GCO1301</t>
  </si>
  <si>
    <t xml:space="preserve">em flor. </t>
  </si>
  <si>
    <t>GCO1302</t>
  </si>
  <si>
    <t>3.,8</t>
  </si>
  <si>
    <t>GCO1303</t>
  </si>
  <si>
    <t>GCO1304</t>
  </si>
  <si>
    <t>GCO1305</t>
  </si>
  <si>
    <t>0.7</t>
  </si>
  <si>
    <t>GCO1306</t>
  </si>
  <si>
    <t>GCO1307</t>
  </si>
  <si>
    <t>GCO1308</t>
  </si>
  <si>
    <t>GCO1309</t>
  </si>
  <si>
    <t>Folhas alternas discolores</t>
  </si>
  <si>
    <t>GCO1310</t>
  </si>
  <si>
    <t>Folhas membranaceas alternas com tricomas dourados</t>
  </si>
  <si>
    <t>GCO1311</t>
  </si>
  <si>
    <t>GCO1312</t>
  </si>
  <si>
    <t>Folhas opostas com margem coletora</t>
  </si>
  <si>
    <t>GCO1313</t>
  </si>
  <si>
    <t>GCO1314</t>
  </si>
  <si>
    <t xml:space="preserve">Folhas alternas cartaceas com margem lisa discolores na face abaxial, aáoice dos ramos ferrugíneos. </t>
  </si>
  <si>
    <t>GCO1315</t>
  </si>
  <si>
    <t>GCO1316</t>
  </si>
  <si>
    <t>GCO1317</t>
  </si>
  <si>
    <t xml:space="preserve">Tricomas ferrugíneos escuros </t>
  </si>
  <si>
    <t>GCO1318</t>
  </si>
  <si>
    <t>9.77</t>
  </si>
  <si>
    <t>GCO1319</t>
  </si>
  <si>
    <t xml:space="preserve">lenticelas nos ramos mais jovens, folhas alternas </t>
  </si>
  <si>
    <t>GCO1320</t>
  </si>
  <si>
    <t>Theaceae</t>
  </si>
  <si>
    <t>Laplacea fruticosa</t>
  </si>
  <si>
    <t>GCO1321</t>
  </si>
  <si>
    <t>GCO1322</t>
  </si>
  <si>
    <t>GCO1323</t>
  </si>
  <si>
    <t xml:space="preserve">fértil. </t>
  </si>
  <si>
    <t>GCO1324</t>
  </si>
  <si>
    <t xml:space="preserve">fértil flores subsésseis </t>
  </si>
  <si>
    <t>0.10</t>
  </si>
  <si>
    <t>GCO1325</t>
  </si>
  <si>
    <t>GCO1326</t>
  </si>
  <si>
    <t>GCO1327</t>
  </si>
  <si>
    <t>folha alterna membranacea, lenticelas.</t>
  </si>
  <si>
    <t>GCO1328</t>
  </si>
  <si>
    <t>GCO1329</t>
  </si>
  <si>
    <t>GCO1330</t>
  </si>
  <si>
    <t>Quebrado a 4m.</t>
  </si>
  <si>
    <t>Eriotheca bracteolata</t>
  </si>
  <si>
    <t>GCO1331</t>
  </si>
  <si>
    <t>licania 1</t>
  </si>
  <si>
    <t>GCO1332</t>
  </si>
  <si>
    <t xml:space="preserve">folhas discolores. </t>
  </si>
  <si>
    <t>GCO1333</t>
  </si>
  <si>
    <t>GCO1334</t>
  </si>
  <si>
    <t>GCO1335</t>
  </si>
  <si>
    <t>GCO1336</t>
  </si>
  <si>
    <t>GCO1337</t>
  </si>
  <si>
    <t>GCO1338</t>
  </si>
  <si>
    <t>GCO1339</t>
  </si>
  <si>
    <t>Cordia ecalyculata</t>
  </si>
  <si>
    <t>GCO1340</t>
  </si>
  <si>
    <t xml:space="preserve">Inflorescência retorcida passada, um fruto vermelho maduro. </t>
  </si>
  <si>
    <t xml:space="preserve">3 dups </t>
  </si>
  <si>
    <t>dq</t>
  </si>
  <si>
    <t>GCO1341</t>
  </si>
  <si>
    <t>GCO1342</t>
  </si>
  <si>
    <t>7.8</t>
  </si>
  <si>
    <t>talvez coletado 2 diferentes] ihuaç a 232</t>
  </si>
  <si>
    <t>GCO1343</t>
  </si>
  <si>
    <t>GCO1344</t>
  </si>
  <si>
    <t>Chamaecrista indet</t>
  </si>
  <si>
    <t>GCO1345</t>
  </si>
  <si>
    <t>GCO1346</t>
  </si>
  <si>
    <t>GCO1347</t>
  </si>
  <si>
    <t>GCO1348</t>
  </si>
  <si>
    <t>Tricomas alvo-dourados</t>
  </si>
  <si>
    <t>GCO1349</t>
  </si>
  <si>
    <t>GCO1350</t>
  </si>
  <si>
    <t>GCO1351</t>
  </si>
  <si>
    <t>GCO1352</t>
  </si>
  <si>
    <t>GCO1353</t>
  </si>
  <si>
    <t>GCO1354</t>
  </si>
  <si>
    <t>folha bulada</t>
  </si>
  <si>
    <t>GCO1355</t>
  </si>
  <si>
    <t>GCO1356</t>
  </si>
  <si>
    <t>GCO1357</t>
  </si>
  <si>
    <t>GCO1358</t>
  </si>
  <si>
    <t>GCO1359</t>
  </si>
  <si>
    <t xml:space="preserve">Euterpe edulis </t>
  </si>
  <si>
    <t>GCO1360</t>
  </si>
  <si>
    <t>GCO1361</t>
  </si>
  <si>
    <t xml:space="preserve">Tricomas ferrugineos </t>
  </si>
  <si>
    <t>Sloanea obtusifolia</t>
  </si>
  <si>
    <t>GCO1362</t>
  </si>
  <si>
    <t>Pau-pereira</t>
  </si>
  <si>
    <t>GCO1363</t>
  </si>
  <si>
    <t>GCO1364</t>
  </si>
  <si>
    <t>GCO1365</t>
  </si>
  <si>
    <t>GCO1366</t>
  </si>
  <si>
    <t>Tag a 166cm</t>
  </si>
  <si>
    <t>GCO1367</t>
  </si>
  <si>
    <t>Mollinedia indet</t>
  </si>
  <si>
    <t>GCO1368</t>
  </si>
  <si>
    <t>Simira cf. sampaioana</t>
  </si>
  <si>
    <t>GCO1369</t>
  </si>
  <si>
    <t>GCO1370</t>
  </si>
  <si>
    <t>GCO1371</t>
  </si>
  <si>
    <t>domácias igual a 186</t>
  </si>
  <si>
    <t>GCO1372</t>
  </si>
  <si>
    <t>Ocotea aff. dispersa</t>
  </si>
  <si>
    <t>GCO1373</t>
  </si>
  <si>
    <t>GCO1374</t>
  </si>
  <si>
    <t>GCO1375</t>
  </si>
  <si>
    <t>GCO1376</t>
  </si>
  <si>
    <t>igual a 389</t>
  </si>
  <si>
    <t>GCO1377</t>
  </si>
  <si>
    <t>8.7</t>
  </si>
  <si>
    <t>GCO1378</t>
  </si>
  <si>
    <t>domácias presentes entre a nervura primária e secundárias.</t>
  </si>
  <si>
    <t>GCO1379</t>
  </si>
  <si>
    <t>tag a 130cm</t>
  </si>
  <si>
    <t>9.9</t>
  </si>
  <si>
    <t>GCO1380</t>
  </si>
  <si>
    <t>GCO1381</t>
  </si>
  <si>
    <t>Sybianthus ao lado.</t>
  </si>
  <si>
    <t>GCO1382</t>
  </si>
  <si>
    <t>GCO1383</t>
  </si>
  <si>
    <t>Cryptocarya saligna</t>
  </si>
  <si>
    <t>GCO1384</t>
  </si>
  <si>
    <t>GCO1385</t>
  </si>
  <si>
    <t>Tag a 200cm</t>
  </si>
  <si>
    <t>GCO1386</t>
  </si>
  <si>
    <t>GCO1387</t>
  </si>
  <si>
    <t>GCO1388</t>
  </si>
  <si>
    <t>igual a 377</t>
  </si>
  <si>
    <t>GCO1389</t>
  </si>
  <si>
    <t>GCO1390</t>
  </si>
  <si>
    <t>GCO1391</t>
  </si>
  <si>
    <t>qb</t>
  </si>
  <si>
    <t>GCO1392</t>
  </si>
  <si>
    <t>GCO1393</t>
  </si>
  <si>
    <t>GCO1394</t>
  </si>
  <si>
    <t>GCO1395</t>
  </si>
  <si>
    <t>GCO1396</t>
  </si>
  <si>
    <t>Tag a 130cm.</t>
  </si>
  <si>
    <t>GCO1397</t>
  </si>
  <si>
    <t>recoletar</t>
  </si>
  <si>
    <t>GCO1398</t>
  </si>
  <si>
    <t>GCO1399</t>
  </si>
  <si>
    <t>Medir com escada. Tag a 160cm.</t>
  </si>
  <si>
    <t>GCO1400</t>
  </si>
  <si>
    <t>Persea caesia</t>
  </si>
  <si>
    <t>GCO1401</t>
  </si>
  <si>
    <t>GCO1402</t>
  </si>
  <si>
    <t>igual a 227 e 805</t>
  </si>
  <si>
    <t>GCO1403</t>
  </si>
  <si>
    <t>Exsudato</t>
  </si>
  <si>
    <t>GCO1404</t>
  </si>
  <si>
    <t>GCO1405</t>
  </si>
  <si>
    <t>GCO1406</t>
  </si>
  <si>
    <t xml:space="preserve">Lenticelas. </t>
  </si>
  <si>
    <t>GCO1407</t>
  </si>
  <si>
    <t>GCO1408</t>
  </si>
  <si>
    <t>GCO1409</t>
  </si>
  <si>
    <t>GCO1410</t>
  </si>
  <si>
    <t>GCO1411</t>
  </si>
  <si>
    <t>GCO1412</t>
  </si>
  <si>
    <t>GCO1413</t>
  </si>
  <si>
    <t>GCO1414</t>
  </si>
  <si>
    <t>folhas membranáceas discolores na face abaxial</t>
  </si>
  <si>
    <t>GCO1415</t>
  </si>
  <si>
    <t>GCO1416</t>
  </si>
  <si>
    <t>GCO1417</t>
  </si>
  <si>
    <t>z</t>
  </si>
  <si>
    <t>GCO1418</t>
  </si>
  <si>
    <t>GCO1419</t>
  </si>
  <si>
    <t>GCO1420</t>
  </si>
  <si>
    <t>GCO1421</t>
  </si>
  <si>
    <t>GCO1422</t>
  </si>
  <si>
    <t>fértil, frutos verdes</t>
  </si>
  <si>
    <t>GCO1423</t>
  </si>
  <si>
    <t>GCO1424</t>
  </si>
  <si>
    <t>GCO1425</t>
  </si>
  <si>
    <t>fc</t>
  </si>
  <si>
    <t>GCO1426</t>
  </si>
  <si>
    <t>Schizocalyx cuspidata</t>
  </si>
  <si>
    <t>GCO1427</t>
  </si>
  <si>
    <t>GCO1428</t>
  </si>
  <si>
    <t>GCO1429</t>
  </si>
  <si>
    <t>igual a 106</t>
  </si>
  <si>
    <t>GCO1430</t>
  </si>
  <si>
    <t>GCO1431</t>
  </si>
  <si>
    <t>Philodendron propincon fértil</t>
  </si>
  <si>
    <t>GCO1432</t>
  </si>
  <si>
    <t>2c2</t>
  </si>
  <si>
    <t>GCO1433</t>
  </si>
  <si>
    <t>folhas discolores, botões verdes claro. Coletar novamente</t>
  </si>
  <si>
    <t>GCO1434</t>
  </si>
  <si>
    <t>GCO1435</t>
  </si>
  <si>
    <t>GCO1436</t>
  </si>
  <si>
    <t>GCO1437</t>
  </si>
  <si>
    <t>GCO1438</t>
  </si>
  <si>
    <t>d</t>
  </si>
  <si>
    <t>GCO1439</t>
  </si>
  <si>
    <t>Tag a 100cm.</t>
  </si>
  <si>
    <t>GCO1440</t>
  </si>
  <si>
    <t>5,5</t>
  </si>
  <si>
    <t>GCO1441</t>
  </si>
  <si>
    <t>GCO1442</t>
  </si>
  <si>
    <t>GCO1443</t>
  </si>
  <si>
    <t>GCO1444</t>
  </si>
  <si>
    <t>GCO1445</t>
  </si>
  <si>
    <t>GCO1446</t>
  </si>
  <si>
    <t>GCO1447</t>
  </si>
  <si>
    <t>GCO1448</t>
  </si>
  <si>
    <t>Presença de liana.</t>
  </si>
  <si>
    <t>GCO1449</t>
  </si>
  <si>
    <t>GCO1450</t>
  </si>
  <si>
    <t>Tag a 160cm, medir com escada.</t>
  </si>
  <si>
    <t>GCO1451</t>
  </si>
  <si>
    <t>GCO1452</t>
  </si>
  <si>
    <t>GCO1453</t>
  </si>
  <si>
    <t>GCO1454</t>
  </si>
  <si>
    <t>Swartzia indet</t>
  </si>
  <si>
    <t>GCO1455</t>
  </si>
  <si>
    <t>GCO1456</t>
  </si>
  <si>
    <t>Bromélia fértil ao lado</t>
  </si>
  <si>
    <t>GCO1457</t>
  </si>
  <si>
    <t>GCO1458</t>
  </si>
  <si>
    <t>flores alvas</t>
  </si>
  <si>
    <t>GCO1459</t>
  </si>
  <si>
    <t>GCO1460</t>
  </si>
  <si>
    <t>GCO1461</t>
  </si>
  <si>
    <t>GCO1462</t>
  </si>
  <si>
    <t>GCO1463</t>
  </si>
  <si>
    <t>GCO1464</t>
  </si>
  <si>
    <t>GCO1465</t>
  </si>
  <si>
    <t>GCO1466</t>
  </si>
  <si>
    <t>não é leg</t>
  </si>
  <si>
    <t>GCO1467</t>
  </si>
  <si>
    <t>GCO1468</t>
  </si>
  <si>
    <t>Maytenus cf. ardisifolia</t>
  </si>
  <si>
    <t>GCO1469</t>
  </si>
  <si>
    <t>Presença de Liana.</t>
  </si>
  <si>
    <t>GCO1470</t>
  </si>
  <si>
    <t>GCO1471</t>
  </si>
  <si>
    <t>Urticaceae</t>
  </si>
  <si>
    <t>Cecropia hololeuca</t>
  </si>
  <si>
    <t>GCO1472</t>
  </si>
  <si>
    <t>cw</t>
  </si>
  <si>
    <t>GCO1473</t>
  </si>
  <si>
    <t>GCO1474</t>
  </si>
  <si>
    <t>GCO1475</t>
  </si>
  <si>
    <t>GCO1476</t>
  </si>
  <si>
    <t>GCO1477</t>
  </si>
  <si>
    <t>GCO1478</t>
  </si>
  <si>
    <t>fbc</t>
  </si>
  <si>
    <t>GCO1479</t>
  </si>
  <si>
    <t>GCO1480</t>
  </si>
  <si>
    <t>GCO1481</t>
  </si>
  <si>
    <t>Myrsine parvifolia</t>
  </si>
  <si>
    <t>GCO1482</t>
  </si>
  <si>
    <t>GCO1483</t>
  </si>
  <si>
    <t>GCO1484</t>
  </si>
  <si>
    <t>GCO1485</t>
  </si>
  <si>
    <t>GCO1486</t>
  </si>
  <si>
    <t>GCO1487</t>
  </si>
  <si>
    <t>GCO1488</t>
  </si>
  <si>
    <t>Látex e exsudato amarelado no meristema apical</t>
  </si>
  <si>
    <t>GCO1489</t>
  </si>
  <si>
    <t>GCO1490</t>
  </si>
  <si>
    <t>GCO1491</t>
  </si>
  <si>
    <t>GCO1492</t>
  </si>
  <si>
    <t>GCO1493</t>
  </si>
  <si>
    <t>GCO1494</t>
  </si>
  <si>
    <t>Monopodial.</t>
  </si>
  <si>
    <t>GCO1495</t>
  </si>
  <si>
    <t>GCO1496</t>
  </si>
  <si>
    <t>GCO1497</t>
  </si>
  <si>
    <t>GCO1498</t>
  </si>
  <si>
    <t>GCO1499</t>
  </si>
  <si>
    <t>GCO1500</t>
  </si>
  <si>
    <t>GCO1501</t>
  </si>
  <si>
    <t>Buraco a 130cm.</t>
  </si>
  <si>
    <t>GCO1502</t>
  </si>
  <si>
    <t>GCO1503</t>
  </si>
  <si>
    <t>GCO1504</t>
  </si>
  <si>
    <t>GCO1505</t>
  </si>
  <si>
    <t>Frutos amarelados no chão</t>
  </si>
  <si>
    <t>Chrrysobalanus atlanticus</t>
  </si>
  <si>
    <t>GCO1506</t>
  </si>
  <si>
    <t>GCO1507</t>
  </si>
  <si>
    <t>Rubiaceae florida ao lado.</t>
  </si>
  <si>
    <t>GCO1508</t>
  </si>
  <si>
    <t>2a</t>
  </si>
  <si>
    <t>GCO1509</t>
  </si>
  <si>
    <t>GCO1510</t>
  </si>
  <si>
    <t xml:space="preserve">Casca com placas vináceas, entrecasca alva.  </t>
  </si>
  <si>
    <t>GCO1511</t>
  </si>
  <si>
    <t>Raiz aérea, látex amarelo</t>
  </si>
  <si>
    <t>GCO1512</t>
  </si>
  <si>
    <t>Lenticelas, folhas discolores na face abaxial</t>
  </si>
  <si>
    <t>Inga striata</t>
  </si>
  <si>
    <t>GCO1513</t>
  </si>
  <si>
    <t>Presença de lianas.</t>
  </si>
  <si>
    <t>w</t>
  </si>
  <si>
    <t>GCO1514</t>
  </si>
  <si>
    <t>GCO1515</t>
  </si>
  <si>
    <t>GCO1516</t>
  </si>
  <si>
    <t>GCO1517</t>
  </si>
  <si>
    <t>GCO1518</t>
  </si>
  <si>
    <t>fe</t>
  </si>
  <si>
    <t>GCO1519</t>
  </si>
  <si>
    <t xml:space="preserve">Escada </t>
  </si>
  <si>
    <t>GCO1520</t>
  </si>
  <si>
    <t>GCO1521</t>
  </si>
  <si>
    <t>GCO1522</t>
  </si>
  <si>
    <t>GCO1523</t>
  </si>
  <si>
    <t>Merostachys ao lado</t>
  </si>
  <si>
    <t>GCO1524</t>
  </si>
  <si>
    <t>Perto da gameleira</t>
  </si>
  <si>
    <t>GCO1525</t>
  </si>
  <si>
    <t>GCO1526</t>
  </si>
  <si>
    <t>Flores grandes de Myrtaceae no chão. Frutos amarelados, cálice vináceo.</t>
  </si>
  <si>
    <t>GCO1527</t>
  </si>
  <si>
    <t>Barranco beira rio</t>
  </si>
  <si>
    <t>GCO1528</t>
  </si>
  <si>
    <t>Barranco beira rio, igual à árvore 527.</t>
  </si>
  <si>
    <t>GCO1529</t>
  </si>
  <si>
    <t>Barranco beira rio.</t>
  </si>
  <si>
    <t>GCO1530</t>
  </si>
  <si>
    <t xml:space="preserve">Raiz aérea. </t>
  </si>
  <si>
    <t xml:space="preserve">Laplacea fruticosa </t>
  </si>
  <si>
    <t>GCO1531</t>
  </si>
  <si>
    <t>Fissuras longitudinais no tronco.</t>
  </si>
  <si>
    <t>GCO1532</t>
  </si>
  <si>
    <t>Presença de liana. Casca vermelha.</t>
  </si>
  <si>
    <t>GCO1533</t>
  </si>
  <si>
    <t>GCO1534</t>
  </si>
  <si>
    <t>GCO1535</t>
  </si>
  <si>
    <t>GCO1536</t>
  </si>
  <si>
    <t>Monopodial</t>
  </si>
  <si>
    <t>Terminalia hoehneana</t>
  </si>
  <si>
    <t>GCO1537</t>
  </si>
  <si>
    <t xml:space="preserve">Fissuras longitudinais no tronco. </t>
  </si>
  <si>
    <t>GCO1538</t>
  </si>
  <si>
    <t>Myrcia de folha grande ao lado.</t>
  </si>
  <si>
    <t>GCO1539</t>
  </si>
  <si>
    <t>Presença de liana. Monopodial igual a árvore 536.</t>
  </si>
  <si>
    <t>GCO1540</t>
  </si>
  <si>
    <t>GCO1541</t>
  </si>
  <si>
    <t>GCO1542</t>
  </si>
  <si>
    <t>GCO1543</t>
  </si>
  <si>
    <t>Protuberância na base do tronco</t>
  </si>
  <si>
    <t>GCO1544</t>
  </si>
  <si>
    <t>Medir com escada.</t>
  </si>
  <si>
    <t>GCO1545</t>
  </si>
  <si>
    <t>talvez vanilla subindo (foto)</t>
  </si>
  <si>
    <t>GCO1546</t>
  </si>
  <si>
    <t>GCO1547</t>
  </si>
  <si>
    <t>GCO1548</t>
  </si>
  <si>
    <t>GCO1549</t>
  </si>
  <si>
    <t>Trichilia lepidota</t>
  </si>
  <si>
    <t>GCO1550</t>
  </si>
  <si>
    <t>GCO1551</t>
  </si>
  <si>
    <t>GCO1552</t>
  </si>
  <si>
    <t>Caule verde descamante. Leguminosae para coletar ao lado.</t>
  </si>
  <si>
    <t>Machaerium brasiliense</t>
  </si>
  <si>
    <t>GCO1553</t>
  </si>
  <si>
    <t>GCO1554</t>
  </si>
  <si>
    <t>GCO1555</t>
  </si>
  <si>
    <t>GCO1556</t>
  </si>
  <si>
    <t>GCO1557</t>
  </si>
  <si>
    <t>GCO1558</t>
  </si>
  <si>
    <t>Rebrotos.</t>
  </si>
  <si>
    <t>GCO1559</t>
  </si>
  <si>
    <t xml:space="preserve">presença de raiz aérea, folhas pequenas. </t>
  </si>
  <si>
    <t>GCO1560</t>
  </si>
  <si>
    <t xml:space="preserve">Tronco fissurado alaranjado. </t>
  </si>
  <si>
    <t>GCO1561</t>
  </si>
  <si>
    <t>GCO1562</t>
  </si>
  <si>
    <t>GCO1563</t>
  </si>
  <si>
    <t>GCO1564</t>
  </si>
  <si>
    <t>GCO1565</t>
  </si>
  <si>
    <t>Super inclinada.</t>
  </si>
  <si>
    <t>GCO1566</t>
  </si>
  <si>
    <t>Duas protuberâncias presentes no fuste (170cm e 200cm)</t>
  </si>
  <si>
    <t>GCO1567</t>
  </si>
  <si>
    <t>Trifoliolada</t>
  </si>
  <si>
    <t>qc</t>
  </si>
  <si>
    <t>GCO1568</t>
  </si>
  <si>
    <t>GCO1569</t>
  </si>
  <si>
    <t>GCO1570</t>
  </si>
  <si>
    <t>GCO1571</t>
  </si>
  <si>
    <t>GCO1572</t>
  </si>
  <si>
    <t>bz</t>
  </si>
  <si>
    <t>GCO1573</t>
  </si>
  <si>
    <t xml:space="preserve">Quebrada a 8m. </t>
  </si>
  <si>
    <t>GCO1574</t>
  </si>
  <si>
    <t>GCO1575</t>
  </si>
  <si>
    <t>GCO1576</t>
  </si>
  <si>
    <t>GCO1577</t>
  </si>
  <si>
    <t>Calophyllaceae</t>
  </si>
  <si>
    <t>Kielmeyera indet</t>
  </si>
  <si>
    <t>GCO1578</t>
  </si>
  <si>
    <t>látex</t>
  </si>
  <si>
    <t>GCO1579</t>
  </si>
  <si>
    <t>GCO1580</t>
  </si>
  <si>
    <t>GCO1581</t>
  </si>
  <si>
    <t>GCO1582</t>
  </si>
  <si>
    <t>Actinostemon indet</t>
  </si>
  <si>
    <t>GCO1583</t>
  </si>
  <si>
    <t>GCO1584</t>
  </si>
  <si>
    <t>GCO1585</t>
  </si>
  <si>
    <t>GCO1586</t>
  </si>
  <si>
    <t>Eugenia indet</t>
  </si>
  <si>
    <t>GCO1587</t>
  </si>
  <si>
    <t>GCO1588</t>
  </si>
  <si>
    <t>GCO1589</t>
  </si>
  <si>
    <t>GCO1590</t>
  </si>
  <si>
    <t>GCO1591</t>
  </si>
  <si>
    <t>GCO1592</t>
  </si>
  <si>
    <t>Grevillea robusta</t>
  </si>
  <si>
    <t>GCO1593</t>
  </si>
  <si>
    <t>Quebrado a 5m.</t>
  </si>
  <si>
    <t>palicourea sp1</t>
  </si>
  <si>
    <t>GCO1594</t>
  </si>
  <si>
    <t>GCO1595</t>
  </si>
  <si>
    <t>fertil 4 dups</t>
  </si>
  <si>
    <t>GCO1596</t>
  </si>
  <si>
    <t>GCO1597</t>
  </si>
  <si>
    <t>GCO1598</t>
  </si>
  <si>
    <t>GCO1599</t>
  </si>
  <si>
    <t>GCO1600</t>
  </si>
  <si>
    <t>GCO1601</t>
  </si>
  <si>
    <t>GCO1602</t>
  </si>
  <si>
    <t>ec</t>
  </si>
  <si>
    <t>GCO1603</t>
  </si>
  <si>
    <t>fotões e corola alvos, cálice verde amarelado</t>
  </si>
  <si>
    <t>GCO1604</t>
  </si>
  <si>
    <t>GCO1605</t>
  </si>
  <si>
    <t>GCO1606</t>
  </si>
  <si>
    <t xml:space="preserve">Inga indet </t>
  </si>
  <si>
    <t>GCO1607</t>
  </si>
  <si>
    <t>GCO1608</t>
  </si>
  <si>
    <t>GCO1609</t>
  </si>
  <si>
    <t>GCO1610</t>
  </si>
  <si>
    <t>GCO1611</t>
  </si>
  <si>
    <t>GCO1612</t>
  </si>
  <si>
    <t>GCO1613</t>
  </si>
  <si>
    <t>GCO1614</t>
  </si>
  <si>
    <t>GCO1615</t>
  </si>
  <si>
    <t>GCO1616</t>
  </si>
  <si>
    <t>Simarouba amara</t>
  </si>
  <si>
    <t>GCO1617</t>
  </si>
  <si>
    <t>GCO1618</t>
  </si>
  <si>
    <t>GCO1619</t>
  </si>
  <si>
    <t>GCO1620</t>
  </si>
  <si>
    <t>Mouriri indet</t>
  </si>
  <si>
    <t>GCO1621</t>
  </si>
  <si>
    <t>GCO1622</t>
  </si>
  <si>
    <t>GCO1623</t>
  </si>
  <si>
    <t>Beira do rio. Presença de liana.</t>
  </si>
  <si>
    <t>GCO1624</t>
  </si>
  <si>
    <t xml:space="preserve">Beira do rio. </t>
  </si>
  <si>
    <t>GCO1625</t>
  </si>
  <si>
    <t>GCO1626</t>
  </si>
  <si>
    <t xml:space="preserve">domácias na face abaxial </t>
  </si>
  <si>
    <t>GCO1627</t>
  </si>
  <si>
    <t>GCO1628</t>
  </si>
  <si>
    <t>GCO1629</t>
  </si>
  <si>
    <t>GCO1630</t>
  </si>
  <si>
    <t>GCO1631</t>
  </si>
  <si>
    <t>GCO1632</t>
  </si>
  <si>
    <t>GCO1633</t>
  </si>
  <si>
    <t>GCO1634</t>
  </si>
  <si>
    <t>GCO1635</t>
  </si>
  <si>
    <t>GCO1636</t>
  </si>
  <si>
    <t>GCO1637</t>
  </si>
  <si>
    <t>GCO1638</t>
  </si>
  <si>
    <t>GCO1639</t>
  </si>
  <si>
    <t>Cupania racemosa</t>
  </si>
  <si>
    <t xml:space="preserve">det Rubens Coelho </t>
  </si>
  <si>
    <t>GCO1640</t>
  </si>
  <si>
    <t>GCO1641</t>
  </si>
  <si>
    <t>GCO1642</t>
  </si>
  <si>
    <t>Vochysiaceae</t>
  </si>
  <si>
    <t>Qualea gestasiana</t>
  </si>
  <si>
    <t>GCO1643</t>
  </si>
  <si>
    <t>GCO1644</t>
  </si>
  <si>
    <t>GCO1645</t>
  </si>
  <si>
    <t>GCO1646</t>
  </si>
  <si>
    <t>GCO1647</t>
  </si>
  <si>
    <t>GCO1648</t>
  </si>
  <si>
    <t>GCO1649</t>
  </si>
  <si>
    <t>GCO1650</t>
  </si>
  <si>
    <t>GCO1651</t>
  </si>
  <si>
    <t>GCO1652</t>
  </si>
  <si>
    <t>GCO1653</t>
  </si>
  <si>
    <t>GCO1654</t>
  </si>
  <si>
    <t>GCO1655</t>
  </si>
  <si>
    <t>GCO1656</t>
  </si>
  <si>
    <t>GCO1657</t>
  </si>
  <si>
    <t>GCO1658</t>
  </si>
  <si>
    <t>GCO1659</t>
  </si>
  <si>
    <t>GCO1660</t>
  </si>
  <si>
    <t xml:space="preserve">Guapira indet </t>
  </si>
  <si>
    <t>GCO1661</t>
  </si>
  <si>
    <t>Tag a 167cm.</t>
  </si>
  <si>
    <t>GCO1662</t>
  </si>
  <si>
    <t>GCO1663</t>
  </si>
  <si>
    <t>GCO1664</t>
  </si>
  <si>
    <t>Myrsinaceae</t>
  </si>
  <si>
    <t>GCO1665</t>
  </si>
  <si>
    <t>GCO1666</t>
  </si>
  <si>
    <t>GCO1667</t>
  </si>
  <si>
    <t>GCO1668</t>
  </si>
  <si>
    <t>GCO1669</t>
  </si>
  <si>
    <t xml:space="preserve">Tovomita fructipendula </t>
  </si>
  <si>
    <t>GCO1670</t>
  </si>
  <si>
    <t>GCO1671</t>
  </si>
  <si>
    <t>.</t>
  </si>
  <si>
    <t>GCO1672</t>
  </si>
  <si>
    <t xml:space="preserve">Trichilia sp1 </t>
  </si>
  <si>
    <t>GCO1673</t>
  </si>
  <si>
    <t>GCO1674</t>
  </si>
  <si>
    <t>GCO1675</t>
  </si>
  <si>
    <t>GCO1676</t>
  </si>
  <si>
    <t>GCO1677</t>
  </si>
  <si>
    <t>Ocotea daphnifolia</t>
  </si>
  <si>
    <t>det F. Saiter]</t>
  </si>
  <si>
    <t>GCO1678</t>
  </si>
  <si>
    <t>GCO1679</t>
  </si>
  <si>
    <t>GCO1680</t>
  </si>
  <si>
    <t>GCO1681</t>
  </si>
  <si>
    <t>GCO1682</t>
  </si>
  <si>
    <t>GCO1683</t>
  </si>
  <si>
    <t>GCO1684</t>
  </si>
  <si>
    <t>Lenticelas evidentes nos ramos</t>
  </si>
  <si>
    <t>GCO1685</t>
  </si>
  <si>
    <t>GCO1686</t>
  </si>
  <si>
    <t>GCO1687</t>
  </si>
  <si>
    <t>presença de issuras longitudinais no ritidoma</t>
  </si>
  <si>
    <t>GCO1688</t>
  </si>
  <si>
    <t>GCO1689</t>
  </si>
  <si>
    <t>GCO1690</t>
  </si>
  <si>
    <t>GCO1691</t>
  </si>
  <si>
    <t>GCO1692</t>
  </si>
  <si>
    <t>GCO1693</t>
  </si>
  <si>
    <t>GCO1694</t>
  </si>
  <si>
    <t>Miconia dodecandra</t>
  </si>
  <si>
    <t>GCO1695</t>
  </si>
  <si>
    <t>GCO1696</t>
  </si>
  <si>
    <t>GCO1697</t>
  </si>
  <si>
    <t>GCO1698</t>
  </si>
  <si>
    <t>GCO1699</t>
  </si>
  <si>
    <t>GCO1700</t>
  </si>
  <si>
    <t>wc</t>
  </si>
  <si>
    <t>GCO1701</t>
  </si>
  <si>
    <t>GCO1702</t>
  </si>
  <si>
    <t>GCO1703</t>
  </si>
  <si>
    <t>Inga cf. mendoncei</t>
  </si>
  <si>
    <t>GCO1704</t>
  </si>
  <si>
    <t>GCO1705</t>
  </si>
  <si>
    <t>presença de ócrea</t>
  </si>
  <si>
    <t>GCO1706</t>
  </si>
  <si>
    <t>GCO1707</t>
  </si>
  <si>
    <t>cwq</t>
  </si>
  <si>
    <t>GCO1708</t>
  </si>
  <si>
    <t>GCO1709</t>
  </si>
  <si>
    <t>GCO1710</t>
  </si>
  <si>
    <t>GCO1711</t>
  </si>
  <si>
    <t>GCO1712</t>
  </si>
  <si>
    <t>GCO1713</t>
  </si>
  <si>
    <t>GCO1714</t>
  </si>
  <si>
    <t>GCO1715</t>
  </si>
  <si>
    <t>GCO1716</t>
  </si>
  <si>
    <t xml:space="preserve">localizada na beira do rio. </t>
  </si>
  <si>
    <t>GCO1717</t>
  </si>
  <si>
    <t>GCO1718</t>
  </si>
  <si>
    <t>GCO1719</t>
  </si>
  <si>
    <t>GCO1720</t>
  </si>
  <si>
    <t>GCO1721</t>
  </si>
  <si>
    <t>GCO1722</t>
  </si>
  <si>
    <t>GCO1723</t>
  </si>
  <si>
    <t>GCO1724</t>
  </si>
  <si>
    <t>GCO1725</t>
  </si>
  <si>
    <t>GCO1726</t>
  </si>
  <si>
    <t>bc</t>
  </si>
  <si>
    <t>GCO1727</t>
  </si>
  <si>
    <t>Quebrado a 1.8m com rebrotos jovens</t>
  </si>
  <si>
    <t>GCO1728</t>
  </si>
  <si>
    <t>YEs</t>
  </si>
  <si>
    <t>GCO1729</t>
  </si>
  <si>
    <t>GCO1730</t>
  </si>
  <si>
    <t>g</t>
  </si>
  <si>
    <t>GCO1731</t>
  </si>
  <si>
    <t>GCO1732</t>
  </si>
  <si>
    <t>folha alterna</t>
  </si>
  <si>
    <t>GCO1733</t>
  </si>
  <si>
    <t>licania 2</t>
  </si>
  <si>
    <t>GCO1734</t>
  </si>
  <si>
    <t>GCO1735</t>
  </si>
  <si>
    <t>'</t>
  </si>
  <si>
    <t>GCO1736</t>
  </si>
  <si>
    <t xml:space="preserve">ramos descamantes avermelhados </t>
  </si>
  <si>
    <t>GCO1737</t>
  </si>
  <si>
    <t>Campomanesia aromatica</t>
  </si>
  <si>
    <t>GCO1738</t>
  </si>
  <si>
    <t>GCO1739</t>
  </si>
  <si>
    <t>GCO1740</t>
  </si>
  <si>
    <t>GCO1741</t>
  </si>
  <si>
    <t>GCO1742</t>
  </si>
  <si>
    <t>GCO1743</t>
  </si>
  <si>
    <t>Barnebya dispar</t>
  </si>
  <si>
    <t>GCO1744</t>
  </si>
  <si>
    <t>GCO1745</t>
  </si>
  <si>
    <t>GCO1746</t>
  </si>
  <si>
    <t>GCO1747</t>
  </si>
  <si>
    <t>GCO1748</t>
  </si>
  <si>
    <t>Myrcia crassa</t>
  </si>
  <si>
    <t>GCO1749</t>
  </si>
  <si>
    <t>Folhas cartáceas</t>
  </si>
  <si>
    <t>GCO1750</t>
  </si>
  <si>
    <t>GCO1751</t>
  </si>
  <si>
    <t>GCO1752</t>
  </si>
  <si>
    <t>GCO1753</t>
  </si>
  <si>
    <t>GCO1754</t>
  </si>
  <si>
    <t>GCO1755</t>
  </si>
  <si>
    <t>GCO1756</t>
  </si>
  <si>
    <t>GCO1757</t>
  </si>
  <si>
    <t>GCO1758</t>
  </si>
  <si>
    <t>Tag a 160cm. Casca interna com odor, presença de lenticelas.</t>
  </si>
  <si>
    <t>GCO1759</t>
  </si>
  <si>
    <t>GCO1760</t>
  </si>
  <si>
    <t>Trichilia</t>
  </si>
  <si>
    <t>GCO1761</t>
  </si>
  <si>
    <t>GCO1762</t>
  </si>
  <si>
    <t>Rubiaceae sp1</t>
  </si>
  <si>
    <t>GCO1763</t>
  </si>
  <si>
    <t>GCO1764</t>
  </si>
  <si>
    <t>Fruto com pedicelo de cerca de 1,5cm</t>
  </si>
  <si>
    <t>GCO1765</t>
  </si>
  <si>
    <t xml:space="preserve">Fissuras alaranjadas no tronco, lenticelas nos ramos, folhas membranáceas, margem </t>
  </si>
  <si>
    <t>ce</t>
  </si>
  <si>
    <t>GCO1766</t>
  </si>
  <si>
    <t xml:space="preserve">Palicourea indet </t>
  </si>
  <si>
    <t xml:space="preserve">palicourea sp2 </t>
  </si>
  <si>
    <t>GCO1767</t>
  </si>
  <si>
    <t>GCO1768</t>
  </si>
  <si>
    <t>GCO1769</t>
  </si>
  <si>
    <t>talvez pausandra</t>
  </si>
  <si>
    <t>GCO1770</t>
  </si>
  <si>
    <t>GCO1771</t>
  </si>
  <si>
    <t>GCO1772</t>
  </si>
  <si>
    <t xml:space="preserve">indivíduo grande de bromélia presente no alto da copa. </t>
  </si>
  <si>
    <t>Bignoniaceae</t>
  </si>
  <si>
    <t xml:space="preserve">Jacaranda indet </t>
  </si>
  <si>
    <t>GCO1773</t>
  </si>
  <si>
    <t>GCO1774</t>
  </si>
  <si>
    <t>GCO1775</t>
  </si>
  <si>
    <t>GCO1776</t>
  </si>
  <si>
    <t>Folhas alternas cartaceas com margem lisa</t>
  </si>
  <si>
    <t xml:space="preserve">Chamaecrista sp1. </t>
  </si>
  <si>
    <t>GCO1777</t>
  </si>
  <si>
    <t>GCO1778</t>
  </si>
  <si>
    <t>GCO1779</t>
  </si>
  <si>
    <t>GCO1780</t>
  </si>
  <si>
    <t xml:space="preserve">Folhas ferrugíneas. </t>
  </si>
  <si>
    <t>Attlaea dubia</t>
  </si>
  <si>
    <t>GCO1781</t>
  </si>
  <si>
    <t>GCO1782</t>
  </si>
  <si>
    <t>GCO1783</t>
  </si>
  <si>
    <t>GCO1784</t>
  </si>
  <si>
    <t>GCO1785</t>
  </si>
  <si>
    <t>GCO1786</t>
  </si>
  <si>
    <t xml:space="preserve">folhas cartáceas. </t>
  </si>
  <si>
    <t>GCO1787</t>
  </si>
  <si>
    <t>GCO1788</t>
  </si>
  <si>
    <t>GCO1789</t>
  </si>
  <si>
    <t>GCO1790</t>
  </si>
  <si>
    <t>GCO1791</t>
  </si>
  <si>
    <t>GCO1792</t>
  </si>
  <si>
    <t>GCO1793</t>
  </si>
  <si>
    <t>Fértil.</t>
  </si>
  <si>
    <t>GCO1794</t>
  </si>
  <si>
    <t>GCO1795</t>
  </si>
  <si>
    <t>qe</t>
  </si>
  <si>
    <t>GCO1796</t>
  </si>
  <si>
    <t>tag a 130cm, raiz tabular, seiva avermelhada.</t>
  </si>
  <si>
    <t>GCO1797</t>
  </si>
  <si>
    <t>GCO1798</t>
  </si>
  <si>
    <t xml:space="preserve">raiz tabular </t>
  </si>
  <si>
    <t>Tripterodendron filicifolium</t>
  </si>
  <si>
    <t>GCO1799</t>
  </si>
  <si>
    <t>Fissuras transversais no ritidoma, presença de lenticelas nos ramos</t>
  </si>
  <si>
    <t>GCO1800</t>
  </si>
  <si>
    <t>Micropholis guyanensis</t>
  </si>
  <si>
    <t>GCO1801</t>
  </si>
  <si>
    <t>GCO1802</t>
  </si>
  <si>
    <t>GCO1803</t>
  </si>
  <si>
    <t>GCO1804</t>
  </si>
  <si>
    <t>igual a 403 e 227</t>
  </si>
  <si>
    <t>GCO1805</t>
  </si>
  <si>
    <t>GCO1806</t>
  </si>
  <si>
    <t>GCO1807</t>
  </si>
  <si>
    <t>GCO1808</t>
  </si>
  <si>
    <t>GCO1809</t>
  </si>
  <si>
    <t>GCO1810</t>
  </si>
  <si>
    <t>GCO1811</t>
  </si>
  <si>
    <t>GCO1812</t>
  </si>
  <si>
    <t>GCO1813</t>
  </si>
  <si>
    <t>GCO1814</t>
  </si>
  <si>
    <t>GCO1815</t>
  </si>
  <si>
    <t>GCO1816</t>
  </si>
  <si>
    <t>GCO1817</t>
  </si>
  <si>
    <t>Tag a 125m</t>
  </si>
  <si>
    <t>GCO1818</t>
  </si>
  <si>
    <t>Tag a 150cm</t>
  </si>
  <si>
    <t>Annona indet</t>
  </si>
  <si>
    <t>Annona sp1</t>
  </si>
  <si>
    <t>GCO1819</t>
  </si>
  <si>
    <t>GCO1820</t>
  </si>
  <si>
    <t>Tag a 130cm</t>
  </si>
  <si>
    <t>GCO1821</t>
  </si>
  <si>
    <t>GCO1822</t>
  </si>
  <si>
    <t>GCO1823</t>
  </si>
  <si>
    <t>GCO1824</t>
  </si>
  <si>
    <t>GCO1825</t>
  </si>
  <si>
    <t>GCO1826</t>
  </si>
  <si>
    <t>GCO1827</t>
  </si>
  <si>
    <t>GCO1828</t>
  </si>
  <si>
    <t>GCO1829</t>
  </si>
  <si>
    <t>GCO1830</t>
  </si>
  <si>
    <t>Pourouma guianensis</t>
  </si>
  <si>
    <t>ew</t>
  </si>
  <si>
    <t>GCO1831</t>
  </si>
  <si>
    <t>Oreopanax capitatus</t>
  </si>
  <si>
    <t>GCO1832</t>
  </si>
  <si>
    <t>GCO1833</t>
  </si>
  <si>
    <t>GCO1834</t>
  </si>
  <si>
    <t>Raiz aérea, sem látex.</t>
  </si>
  <si>
    <t>Palicourea jungiana</t>
  </si>
  <si>
    <t>GCO1835</t>
  </si>
  <si>
    <t>GCO1836</t>
  </si>
  <si>
    <t>Guarea gracilis</t>
  </si>
  <si>
    <t>GCO1837</t>
  </si>
  <si>
    <t>GCO1838</t>
  </si>
  <si>
    <t>GCO1839</t>
  </si>
  <si>
    <t>GCO1840</t>
  </si>
  <si>
    <t>GCO1841</t>
  </si>
  <si>
    <t>GCO1842</t>
  </si>
  <si>
    <t>GCO1843</t>
  </si>
  <si>
    <t>GCO1844</t>
  </si>
  <si>
    <t>GCO1845</t>
  </si>
  <si>
    <t>GCO1846</t>
  </si>
  <si>
    <t>presença de raiz tabular</t>
  </si>
  <si>
    <t>GCO1847</t>
  </si>
  <si>
    <t>GCO1848</t>
  </si>
  <si>
    <t>Cordiera stipulacea</t>
  </si>
  <si>
    <t>GCO1849</t>
  </si>
  <si>
    <t>*material misturado</t>
  </si>
  <si>
    <t>GCO1850</t>
  </si>
  <si>
    <t>GCO1851</t>
  </si>
  <si>
    <t>GCO1852</t>
  </si>
  <si>
    <t>GCO1853</t>
  </si>
  <si>
    <t xml:space="preserve">Matayba guianensis </t>
  </si>
  <si>
    <t>det Rubens Coelho 03/12/25</t>
  </si>
  <si>
    <t>GCO1854</t>
  </si>
  <si>
    <t>GCO1855</t>
  </si>
  <si>
    <t>GCO1856</t>
  </si>
  <si>
    <t>GCO1857</t>
  </si>
  <si>
    <t>GCO1858</t>
  </si>
  <si>
    <t>GCO1859</t>
  </si>
  <si>
    <t>GCO1860</t>
  </si>
  <si>
    <t>GCO1861</t>
  </si>
  <si>
    <t>GCO1862</t>
  </si>
  <si>
    <t>Annona dolabripetala</t>
  </si>
  <si>
    <t>GCO1863</t>
  </si>
  <si>
    <t>GCO1864</t>
  </si>
  <si>
    <t>GCO1865</t>
  </si>
  <si>
    <t>GCO1866</t>
  </si>
  <si>
    <t>GCO1867</t>
  </si>
  <si>
    <t>GCO1868</t>
  </si>
  <si>
    <t>GCO1869</t>
  </si>
  <si>
    <t>GCO1870</t>
  </si>
  <si>
    <t>if</t>
  </si>
  <si>
    <t>GCO1871</t>
  </si>
  <si>
    <t>Persea indet</t>
  </si>
  <si>
    <t>GCO1872</t>
  </si>
  <si>
    <t>GCO1873</t>
  </si>
  <si>
    <t>GCO1874</t>
  </si>
  <si>
    <t>GCO1875</t>
  </si>
  <si>
    <t>GCO1876</t>
  </si>
  <si>
    <t>botões alvos.</t>
  </si>
  <si>
    <t>GCO1877</t>
  </si>
  <si>
    <t>GCO1878</t>
  </si>
  <si>
    <t>GCO1879</t>
  </si>
  <si>
    <t>GCO1880</t>
  </si>
  <si>
    <t>Quebrado a 1.5m.</t>
  </si>
  <si>
    <t>GCO1881</t>
  </si>
  <si>
    <t>GCO1882</t>
  </si>
  <si>
    <t>GCO1883</t>
  </si>
  <si>
    <t>GCO1884</t>
  </si>
  <si>
    <t>GCO1885</t>
  </si>
  <si>
    <t>Trichilia magnifoliola</t>
  </si>
  <si>
    <t>GCO1886</t>
  </si>
  <si>
    <t xml:space="preserve">Tag a 190cm </t>
  </si>
  <si>
    <t>GCO1887</t>
  </si>
  <si>
    <t>GCO1888</t>
  </si>
  <si>
    <t>2aa</t>
  </si>
  <si>
    <t>GCO1889</t>
  </si>
  <si>
    <t>GCO1890</t>
  </si>
  <si>
    <t>GCO1891</t>
  </si>
  <si>
    <t>GCO1892</t>
  </si>
  <si>
    <t>GCO1893</t>
  </si>
  <si>
    <t>gco 10/10/25: não é tachigali, depositada Lauraceae</t>
  </si>
  <si>
    <t>GCO1894</t>
  </si>
  <si>
    <t>Myrcia sp1</t>
  </si>
  <si>
    <t>GCO1895</t>
  </si>
  <si>
    <t>GCO1896</t>
  </si>
  <si>
    <t>swb</t>
  </si>
  <si>
    <t>GCO1897</t>
  </si>
  <si>
    <t>GCO1898</t>
  </si>
  <si>
    <t>GCO1899</t>
  </si>
  <si>
    <t xml:space="preserve">Yes  </t>
  </si>
  <si>
    <t>GCO1900</t>
  </si>
  <si>
    <t>GCO1901</t>
  </si>
  <si>
    <t>GCO1902</t>
  </si>
  <si>
    <t>tricomas dourados</t>
  </si>
  <si>
    <t>GCO1903</t>
  </si>
  <si>
    <t>GCO1904</t>
  </si>
  <si>
    <t>GCO1905</t>
  </si>
  <si>
    <t>GCO1906</t>
  </si>
  <si>
    <t>GCO1907</t>
  </si>
  <si>
    <t>GCO1908</t>
  </si>
  <si>
    <t>GCO1909</t>
  </si>
  <si>
    <t>GCO1910</t>
  </si>
  <si>
    <t>GCO1911</t>
  </si>
  <si>
    <t>ci</t>
  </si>
  <si>
    <t>GCO1912</t>
  </si>
  <si>
    <t>GCO1913</t>
  </si>
  <si>
    <t>GCO1914</t>
  </si>
  <si>
    <t>cb</t>
  </si>
  <si>
    <t>GCO1915</t>
  </si>
  <si>
    <t xml:space="preserve">Quebrado a 5m e a 3m. </t>
  </si>
  <si>
    <t>GCO1916</t>
  </si>
  <si>
    <t>GCO1917</t>
  </si>
  <si>
    <t>GCO1918</t>
  </si>
  <si>
    <t>GCO1919</t>
  </si>
  <si>
    <t>GCO1920</t>
  </si>
  <si>
    <t>GCO1921</t>
  </si>
  <si>
    <t xml:space="preserve">Botões. </t>
  </si>
  <si>
    <t>Melanoxylum brauna</t>
  </si>
  <si>
    <t>GCO1922</t>
  </si>
  <si>
    <t>indumento ferrugíneo, raque amarelada, folíolos membranáceos discolore</t>
  </si>
  <si>
    <t>GCO1923</t>
  </si>
  <si>
    <t>GCO1924</t>
  </si>
  <si>
    <t>GCO1925</t>
  </si>
  <si>
    <t>GCO1926</t>
  </si>
  <si>
    <t>GCO1927</t>
  </si>
  <si>
    <t>Casearia indet</t>
  </si>
  <si>
    <t>GCO1928</t>
  </si>
  <si>
    <t>GCO1929</t>
  </si>
  <si>
    <t xml:space="preserve">Folhas membranáceas, levemente avermelhadas na face abaxial. </t>
  </si>
  <si>
    <t>GCO1930</t>
  </si>
  <si>
    <t>GCO1931</t>
  </si>
  <si>
    <t>Quebrado em 6m.</t>
  </si>
  <si>
    <t>GCO1932</t>
  </si>
  <si>
    <t xml:space="preserve">Pouteria indet </t>
  </si>
  <si>
    <t>GCO1933</t>
  </si>
  <si>
    <t>GCO1934</t>
  </si>
  <si>
    <t>GCO1935</t>
  </si>
  <si>
    <t>GCO1936</t>
  </si>
  <si>
    <t>GCO1937</t>
  </si>
  <si>
    <t>Quebrado em 4, frutos inaturos acinczentados.</t>
  </si>
  <si>
    <t>GCO1938</t>
  </si>
  <si>
    <t>GCO700</t>
  </si>
  <si>
    <t xml:space="preserve">  D</t>
  </si>
  <si>
    <t>Inga capitata</t>
  </si>
  <si>
    <t>Inga cf emarginata</t>
  </si>
  <si>
    <t>Loganiaceae</t>
  </si>
  <si>
    <t>Strychnos</t>
  </si>
  <si>
    <t>Strychnos indet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</si>
</sst>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\-??_-;_-@_-"/>
    <numFmt numFmtId="165" formatCode="_-* #,##0_-;\-* #,##0_-;_-* \-_-;_-@_-"/>
    <numFmt numFmtId="166" formatCode="_-\€* #,##0.00_-;&quot;-€&quot;* #,##0.00_-;_-\€* \-??_-;_-@_-"/>
    <numFmt numFmtId="167" formatCode="_-\€* #,##0_-;&quot;-€&quot;* #,##0_-;_-\€* \-_-;_-@_-"/>
    <numFmt numFmtId="168" formatCode="0.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6">
    <xf numFmtId="0" fontId="0" fillId="0" borderId="0"/>
    <xf numFmtId="164" fontId="1" fillId="0" borderId="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7" fontId="1" fillId="0" borderId="0">
      <alignment vertical="center"/>
    </xf>
    <xf numFmtId="167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 applyBorder="0" applyProtection="0"/>
    <xf numFmtId="0" fontId="2" fillId="0" borderId="0">
      <alignment vertical="center"/>
    </xf>
    <xf numFmtId="0" fontId="1" fillId="0" borderId="0">
      <alignment vertical="center"/>
    </xf>
    <xf numFmtId="0" fontId="3" fillId="0" borderId="0"/>
    <xf numFmtId="0" fontId="2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9" fontId="1" fillId="0" borderId="0">
      <alignment vertical="center"/>
    </xf>
  </cellStyleXfs>
  <cellXfs count="34">
    <xf numFmtId="0" fontId="0" fillId="0" borderId="0" xfId="0"/>
    <xf numFmtId="0" fontId="4" fillId="0" borderId="1" xfId="16" applyFont="1" applyBorder="1"/>
    <xf numFmtId="168" fontId="0" fillId="0" borderId="0" xfId="0" applyNumberFormat="1"/>
    <xf numFmtId="0" fontId="4" fillId="0" borderId="1" xfId="16" applyFont="1" applyBorder="1" applyAlignment="1">
      <alignment horizontal="left" vertical="top"/>
    </xf>
    <xf numFmtId="0" fontId="0" fillId="0" borderId="3" xfId="0" applyBorder="1"/>
    <xf numFmtId="0" fontId="4" fillId="0" borderId="1" xfId="16" applyFont="1" applyBorder="1" applyAlignment="1">
      <alignment wrapText="1"/>
    </xf>
    <xf numFmtId="0" fontId="6" fillId="0" borderId="1" xfId="16" applyFont="1" applyBorder="1" applyAlignment="1">
      <alignment wrapText="1"/>
    </xf>
    <xf numFmtId="0" fontId="6" fillId="0" borderId="1" xfId="16" applyFont="1" applyBorder="1"/>
    <xf numFmtId="168" fontId="6" fillId="0" borderId="1" xfId="16" applyNumberFormat="1" applyFont="1" applyBorder="1"/>
    <xf numFmtId="168" fontId="4" fillId="0" borderId="1" xfId="16" applyNumberFormat="1" applyFont="1" applyBorder="1"/>
    <xf numFmtId="0" fontId="4" fillId="0" borderId="0" xfId="16" applyFont="1"/>
    <xf numFmtId="0" fontId="6" fillId="0" borderId="4" xfId="16" applyFont="1" applyBorder="1"/>
    <xf numFmtId="1" fontId="0" fillId="0" borderId="0" xfId="0" applyNumberFormat="1"/>
    <xf numFmtId="168" fontId="0" fillId="0" borderId="0" xfId="0" applyNumberFormat="1" applyAlignment="1">
      <alignment horizontal="right" wrapText="1"/>
    </xf>
    <xf numFmtId="168" fontId="0" fillId="0" borderId="5" xfId="0" applyNumberFormat="1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0" fontId="2" fillId="0" borderId="0" xfId="18">
      <alignment vertical="center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168" fontId="0" fillId="0" borderId="5" xfId="0" applyNumberFormat="1" applyBorder="1"/>
    <xf numFmtId="0" fontId="0" fillId="2" borderId="0" xfId="0" applyFill="1"/>
    <xf numFmtId="0" fontId="7" fillId="0" borderId="0" xfId="0" applyFont="1"/>
    <xf numFmtId="0" fontId="0" fillId="0" borderId="5" xfId="0" applyBorder="1"/>
    <xf numFmtId="1" fontId="0" fillId="3" borderId="0" xfId="0" applyNumberFormat="1" applyFill="1"/>
    <xf numFmtId="0" fontId="0" fillId="3" borderId="0" xfId="0" applyFill="1"/>
    <xf numFmtId="168" fontId="0" fillId="3" borderId="0" xfId="0" applyNumberFormat="1" applyFill="1"/>
    <xf numFmtId="168" fontId="0" fillId="3" borderId="5" xfId="0" applyNumberFormat="1" applyFill="1" applyBorder="1" applyAlignment="1">
      <alignment horizontal="right" wrapText="1"/>
    </xf>
    <xf numFmtId="0" fontId="0" fillId="0" borderId="6" xfId="0" applyBorder="1"/>
    <xf numFmtId="0" fontId="5" fillId="0" borderId="2" xfId="16" applyFont="1" applyBorder="1"/>
    <xf numFmtId="0" fontId="4" fillId="0" borderId="1" xfId="16" applyFont="1" applyBorder="1"/>
  </cellXfs>
  <cellStyles count="26">
    <cellStyle name="Comma [0] 2" xfId="5" xr:uid="{00000000-0005-0000-0000-00000A000000}"/>
    <cellStyle name="Comma [0] 3" xfId="6" xr:uid="{00000000-0005-0000-0000-00000B000000}"/>
    <cellStyle name="Comma [0] 4" xfId="7" xr:uid="{00000000-0005-0000-0000-00000C000000}"/>
    <cellStyle name="Comma 2" xfId="1" xr:uid="{00000000-0005-0000-0000-000006000000}"/>
    <cellStyle name="Comma 3" xfId="2" xr:uid="{00000000-0005-0000-0000-000007000000}"/>
    <cellStyle name="Comma 4" xfId="3" xr:uid="{00000000-0005-0000-0000-000008000000}"/>
    <cellStyle name="Comma 5" xfId="4" xr:uid="{00000000-0005-0000-0000-000009000000}"/>
    <cellStyle name="Currency [0] 2" xfId="12" xr:uid="{00000000-0005-0000-0000-000011000000}"/>
    <cellStyle name="Currency [0] 3" xfId="13" xr:uid="{00000000-0005-0000-0000-000012000000}"/>
    <cellStyle name="Currency [0] 4" xfId="14" xr:uid="{00000000-0005-0000-0000-000013000000}"/>
    <cellStyle name="Currency 2" xfId="8" xr:uid="{00000000-0005-0000-0000-00000D000000}"/>
    <cellStyle name="Currency 3" xfId="9" xr:uid="{00000000-0005-0000-0000-00000E000000}"/>
    <cellStyle name="Currency 4" xfId="10" xr:uid="{00000000-0005-0000-0000-00000F000000}"/>
    <cellStyle name="Currency 5" xfId="11" xr:uid="{00000000-0005-0000-0000-000010000000}"/>
    <cellStyle name="Normal" xfId="0" builtinId="0"/>
    <cellStyle name="Normal 2" xfId="15" xr:uid="{00000000-0005-0000-0000-000014000000}"/>
    <cellStyle name="Normal 2 2" xfId="16" xr:uid="{00000000-0005-0000-0000-000015000000}"/>
    <cellStyle name="Normal 2 3" xfId="17" xr:uid="{00000000-0005-0000-0000-000016000000}"/>
    <cellStyle name="Normal 3" xfId="18" xr:uid="{00000000-0005-0000-0000-000017000000}"/>
    <cellStyle name="Normal 3 2" xfId="19" xr:uid="{00000000-0005-0000-0000-000018000000}"/>
    <cellStyle name="Normal 3 3" xfId="20" xr:uid="{00000000-0005-0000-0000-000019000000}"/>
    <cellStyle name="Normal 4" xfId="21" xr:uid="{00000000-0005-0000-0000-00001A000000}"/>
    <cellStyle name="Normal 4 2" xfId="22" xr:uid="{00000000-0005-0000-0000-00001B000000}"/>
    <cellStyle name="Normal 5" xfId="23" xr:uid="{00000000-0005-0000-0000-00001C000000}"/>
    <cellStyle name="Normal 5 2" xfId="24" xr:uid="{00000000-0005-0000-0000-00001D000000}"/>
    <cellStyle name="Percent 2" xfId="25" xr:uid="{00000000-0005-0000-0000-00001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40"/>
  <sheetViews>
    <sheetView tabSelected="1" zoomScale="152" zoomScaleNormal="55" workbookViewId="0">
      <pane ySplit="2" topLeftCell="A53" activePane="bottomLeft" state="frozen"/>
      <selection pane="bottomLeft" activeCell="H57" sqref="H57"/>
    </sheetView>
  </sheetViews>
  <sheetFormatPr defaultColWidth="8.81640625" defaultRowHeight="14.5" x14ac:dyDescent="0.35"/>
  <cols>
    <col min="1" max="1" width="8.54296875" customWidth="1"/>
    <col min="2" max="2" width="9.453125" customWidth="1"/>
    <col min="3" max="4" width="4.81640625" customWidth="1"/>
    <col min="5" max="5" width="5.1796875" style="2" customWidth="1"/>
    <col min="6" max="6" width="4.453125" style="2" customWidth="1"/>
    <col min="7" max="7" width="16.1796875" customWidth="1"/>
    <col min="8" max="8" width="26.81640625" customWidth="1"/>
    <col min="9" max="9" width="30.08984375" customWidth="1"/>
    <col min="10" max="10" width="15.90625" style="2" hidden="1" customWidth="1"/>
    <col min="11" max="11" width="6.453125" hidden="1" customWidth="1"/>
    <col min="12" max="12" width="5.453125" hidden="1" customWidth="1"/>
    <col min="13" max="13" width="7.453125" hidden="1" customWidth="1"/>
    <col min="14" max="16" width="4.54296875" hidden="1" customWidth="1"/>
    <col min="17" max="17" width="5.1796875" hidden="1" customWidth="1"/>
    <col min="18" max="18" width="7.7265625" hidden="1" customWidth="1"/>
    <col min="19" max="19" width="2.54296875" hidden="1" customWidth="1"/>
    <col min="20" max="20" width="3.453125" hidden="1" customWidth="1"/>
    <col min="21" max="21" width="8.81640625" hidden="1"/>
    <col min="22" max="22" width="4.81640625" hidden="1" customWidth="1"/>
    <col min="23" max="23" width="16.36328125" customWidth="1"/>
    <col min="24" max="24" width="6.453125" customWidth="1"/>
    <col min="25" max="25" width="10" customWidth="1"/>
    <col min="26" max="26" width="57" customWidth="1"/>
    <col min="27" max="27" width="17.90625" customWidth="1"/>
    <col min="28" max="28" width="5.1796875" customWidth="1"/>
    <col min="29" max="29" width="12.1796875" customWidth="1"/>
  </cols>
  <sheetData>
    <row r="1" spans="1:37" x14ac:dyDescent="0.35">
      <c r="A1" s="3" t="s">
        <v>0</v>
      </c>
      <c r="B1" s="3" t="s">
        <v>1</v>
      </c>
      <c r="C1" s="32"/>
      <c r="D1" s="32"/>
      <c r="E1" s="32"/>
      <c r="F1" s="32"/>
      <c r="G1" s="32"/>
      <c r="H1" s="32"/>
      <c r="I1" s="4"/>
      <c r="J1" s="33" t="s">
        <v>2</v>
      </c>
      <c r="K1" s="33"/>
      <c r="L1" s="33"/>
      <c r="M1" s="33" t="s">
        <v>3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37" ht="22" x14ac:dyDescent="0.35">
      <c r="A2" s="5" t="s">
        <v>4</v>
      </c>
      <c r="B2" s="6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1" t="s">
        <v>10</v>
      </c>
      <c r="H2" s="1" t="s">
        <v>11</v>
      </c>
      <c r="I2" s="1" t="s">
        <v>12</v>
      </c>
      <c r="J2" s="9" t="s">
        <v>13</v>
      </c>
      <c r="K2" s="1" t="s">
        <v>14</v>
      </c>
      <c r="L2" s="7" t="s">
        <v>15</v>
      </c>
      <c r="M2" s="7" t="s">
        <v>16</v>
      </c>
      <c r="N2" s="1" t="s">
        <v>17</v>
      </c>
      <c r="O2" s="1" t="s">
        <v>18</v>
      </c>
      <c r="P2" s="1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1" t="s">
        <v>29</v>
      </c>
      <c r="AA2" s="10" t="s">
        <v>1518</v>
      </c>
      <c r="AB2" s="10" t="s">
        <v>31</v>
      </c>
      <c r="AC2" s="11" t="s">
        <v>32</v>
      </c>
    </row>
    <row r="3" spans="1:37" x14ac:dyDescent="0.35">
      <c r="A3" s="12">
        <v>1</v>
      </c>
      <c r="C3">
        <v>1</v>
      </c>
      <c r="E3" s="13">
        <v>1.5</v>
      </c>
      <c r="F3" s="13" t="s">
        <v>33</v>
      </c>
      <c r="G3" t="s">
        <v>34</v>
      </c>
      <c r="H3" t="s">
        <v>35</v>
      </c>
      <c r="I3" t="s">
        <v>36</v>
      </c>
      <c r="J3" s="14">
        <f t="shared" ref="J3:J34" si="0">ROUND(AB3/PI(), 2)*10</f>
        <v>267.39999999999998</v>
      </c>
      <c r="K3">
        <v>1300</v>
      </c>
      <c r="N3" t="s">
        <v>37</v>
      </c>
      <c r="Q3" t="s">
        <v>38</v>
      </c>
      <c r="U3">
        <v>3</v>
      </c>
      <c r="W3" t="s">
        <v>39</v>
      </c>
      <c r="X3" t="s">
        <v>40</v>
      </c>
      <c r="Y3" t="s">
        <v>40</v>
      </c>
      <c r="Z3" t="s">
        <v>41</v>
      </c>
      <c r="AA3">
        <f t="shared" ref="AA3:AA66" si="1">ROUND(AB3/PI(), 2)</f>
        <v>26.74</v>
      </c>
      <c r="AB3" s="15">
        <v>84</v>
      </c>
      <c r="AC3">
        <f t="shared" ref="AC3:AC34" si="2">PI()*(AB3/2)*(AB3/2)/10000</f>
        <v>0.55417694409323959</v>
      </c>
      <c r="AI3" t="e">
        <f>IF(Y3="Yes",NA(),#REF!)</f>
        <v>#N/A</v>
      </c>
      <c r="AJ3" t="e">
        <f>IF(Y3="Yes",NA(),#REF!)</f>
        <v>#N/A</v>
      </c>
      <c r="AK3" t="e">
        <f>IF(Y3="Yes",NA(),#REF!)</f>
        <v>#N/A</v>
      </c>
    </row>
    <row r="4" spans="1:37" x14ac:dyDescent="0.35">
      <c r="A4" s="12">
        <v>2</v>
      </c>
      <c r="C4">
        <v>1</v>
      </c>
      <c r="E4" s="13">
        <v>2</v>
      </c>
      <c r="F4" s="13">
        <v>4</v>
      </c>
      <c r="G4" t="s">
        <v>42</v>
      </c>
      <c r="H4" t="s">
        <v>43</v>
      </c>
      <c r="J4" s="14">
        <f t="shared" si="0"/>
        <v>343.8</v>
      </c>
      <c r="K4">
        <v>1300</v>
      </c>
      <c r="N4" t="s">
        <v>44</v>
      </c>
      <c r="Q4" t="s">
        <v>38</v>
      </c>
      <c r="U4">
        <v>4</v>
      </c>
      <c r="W4" t="s">
        <v>45</v>
      </c>
      <c r="X4" t="s">
        <v>40</v>
      </c>
      <c r="Y4" t="s">
        <v>40</v>
      </c>
      <c r="Z4" t="s">
        <v>46</v>
      </c>
      <c r="AA4">
        <f t="shared" si="1"/>
        <v>34.380000000000003</v>
      </c>
      <c r="AB4" s="15">
        <v>108</v>
      </c>
      <c r="AC4">
        <f t="shared" si="2"/>
        <v>0.91608841778678363</v>
      </c>
      <c r="AI4" t="e">
        <f>IF(Y4="Yes",NA(),#REF!)</f>
        <v>#N/A</v>
      </c>
      <c r="AJ4" t="e">
        <f>IF(Y4="Yes",NA(),#REF!)</f>
        <v>#N/A</v>
      </c>
      <c r="AK4" t="e">
        <f>IF(Y4="Yes",NA(),#REF!)</f>
        <v>#N/A</v>
      </c>
    </row>
    <row r="5" spans="1:37" x14ac:dyDescent="0.35">
      <c r="A5" s="12">
        <v>3</v>
      </c>
      <c r="C5">
        <v>1</v>
      </c>
      <c r="E5" s="13">
        <v>2</v>
      </c>
      <c r="F5" s="13">
        <v>5</v>
      </c>
      <c r="G5" t="s">
        <v>47</v>
      </c>
      <c r="H5" t="s">
        <v>48</v>
      </c>
      <c r="J5" s="14">
        <f t="shared" si="0"/>
        <v>248.29999999999998</v>
      </c>
      <c r="K5">
        <v>1300</v>
      </c>
      <c r="N5" t="s">
        <v>37</v>
      </c>
      <c r="Q5">
        <v>5</v>
      </c>
      <c r="W5" t="s">
        <v>49</v>
      </c>
      <c r="X5" t="s">
        <v>40</v>
      </c>
      <c r="Y5" t="s">
        <v>40</v>
      </c>
      <c r="Z5" t="s">
        <v>50</v>
      </c>
      <c r="AA5">
        <f t="shared" si="1"/>
        <v>24.83</v>
      </c>
      <c r="AB5" s="15">
        <v>78</v>
      </c>
      <c r="AC5">
        <f t="shared" si="2"/>
        <v>0.47783624261100749</v>
      </c>
      <c r="AI5" t="e">
        <f>IF(Y5="Yes",NA(),#REF!)</f>
        <v>#N/A</v>
      </c>
      <c r="AJ5" t="e">
        <f>IF(Y5="Yes",NA(),#REF!)</f>
        <v>#N/A</v>
      </c>
      <c r="AK5" t="e">
        <f>IF(Y5="Yes",NA(),#REF!)</f>
        <v>#N/A</v>
      </c>
    </row>
    <row r="6" spans="1:37" x14ac:dyDescent="0.35">
      <c r="A6" s="12">
        <v>4</v>
      </c>
      <c r="C6">
        <v>1</v>
      </c>
      <c r="E6" s="13" t="s">
        <v>51</v>
      </c>
      <c r="F6" s="13" t="s">
        <v>52</v>
      </c>
      <c r="G6" t="s">
        <v>47</v>
      </c>
      <c r="H6" t="s">
        <v>53</v>
      </c>
      <c r="J6" s="14">
        <f t="shared" si="0"/>
        <v>101.89999999999999</v>
      </c>
      <c r="K6">
        <v>1300</v>
      </c>
      <c r="N6" t="s">
        <v>54</v>
      </c>
      <c r="Q6" t="s">
        <v>55</v>
      </c>
      <c r="U6">
        <v>3</v>
      </c>
      <c r="W6" t="s">
        <v>56</v>
      </c>
      <c r="X6" t="s">
        <v>40</v>
      </c>
      <c r="Y6" t="s">
        <v>40</v>
      </c>
      <c r="Z6" t="s">
        <v>57</v>
      </c>
      <c r="AA6">
        <f t="shared" si="1"/>
        <v>10.19</v>
      </c>
      <c r="AB6" s="15">
        <v>32</v>
      </c>
      <c r="AC6">
        <f t="shared" si="2"/>
        <v>8.0424771931898703E-2</v>
      </c>
      <c r="AI6" t="e">
        <f>IF(Y6="Yes",NA(),#REF!)</f>
        <v>#N/A</v>
      </c>
      <c r="AJ6" t="e">
        <f>IF(Y6="Yes",NA(),#REF!)</f>
        <v>#N/A</v>
      </c>
      <c r="AK6" t="e">
        <f>IF(Y6="Yes",NA(),#REF!)</f>
        <v>#N/A</v>
      </c>
    </row>
    <row r="7" spans="1:37" x14ac:dyDescent="0.35">
      <c r="A7" s="12">
        <v>5</v>
      </c>
      <c r="C7">
        <v>1</v>
      </c>
      <c r="E7" s="14" t="s">
        <v>58</v>
      </c>
      <c r="F7" s="14">
        <v>9</v>
      </c>
      <c r="G7" t="s">
        <v>59</v>
      </c>
      <c r="H7" t="s">
        <v>60</v>
      </c>
      <c r="J7" s="14">
        <f t="shared" si="0"/>
        <v>116.5</v>
      </c>
      <c r="K7">
        <v>1300</v>
      </c>
      <c r="N7" t="s">
        <v>61</v>
      </c>
      <c r="Q7" t="s">
        <v>55</v>
      </c>
      <c r="U7">
        <v>5</v>
      </c>
      <c r="W7" t="s">
        <v>62</v>
      </c>
      <c r="X7" t="s">
        <v>40</v>
      </c>
      <c r="Y7" t="s">
        <v>40</v>
      </c>
      <c r="AA7">
        <f t="shared" si="1"/>
        <v>11.65</v>
      </c>
      <c r="AB7" s="16">
        <v>36.6</v>
      </c>
      <c r="AC7">
        <f t="shared" si="2"/>
        <v>0.10520879637606859</v>
      </c>
      <c r="AI7" t="e">
        <f>IF(Y7="Yes",NA(),#REF!)</f>
        <v>#N/A</v>
      </c>
      <c r="AJ7" t="e">
        <f>IF(Y7="Yes",NA(),#REF!)</f>
        <v>#N/A</v>
      </c>
      <c r="AK7" t="e">
        <f>IF(Y7="Yes",NA(),#REF!)</f>
        <v>#N/A</v>
      </c>
    </row>
    <row r="8" spans="1:37" x14ac:dyDescent="0.35">
      <c r="A8" s="12">
        <v>6</v>
      </c>
      <c r="C8">
        <v>1</v>
      </c>
      <c r="E8" s="13">
        <v>3</v>
      </c>
      <c r="F8" s="13">
        <v>7</v>
      </c>
      <c r="G8" t="s">
        <v>63</v>
      </c>
      <c r="H8" t="s">
        <v>64</v>
      </c>
      <c r="J8" s="14">
        <f t="shared" si="0"/>
        <v>129.9</v>
      </c>
      <c r="K8">
        <v>1300</v>
      </c>
      <c r="N8" t="s">
        <v>54</v>
      </c>
      <c r="Q8">
        <v>5</v>
      </c>
      <c r="W8" t="s">
        <v>65</v>
      </c>
      <c r="AA8">
        <f t="shared" si="1"/>
        <v>12.99</v>
      </c>
      <c r="AB8" s="16">
        <v>40.799999999999997</v>
      </c>
      <c r="AC8">
        <f t="shared" si="2"/>
        <v>0.1307405198717928</v>
      </c>
      <c r="AI8" t="e">
        <f>IF(Y8="Yes",NA(),#REF!)</f>
        <v>#REF!</v>
      </c>
      <c r="AJ8" t="e">
        <f>IF(Y8="Yes",NA(),#REF!)</f>
        <v>#REF!</v>
      </c>
      <c r="AK8" t="e">
        <f>IF(Y8="Yes",NA(),#REF!)</f>
        <v>#REF!</v>
      </c>
    </row>
    <row r="9" spans="1:37" x14ac:dyDescent="0.35">
      <c r="A9" s="12">
        <v>7</v>
      </c>
      <c r="C9">
        <v>2</v>
      </c>
      <c r="E9" s="13">
        <v>2</v>
      </c>
      <c r="F9" s="13">
        <v>1</v>
      </c>
      <c r="G9" t="s">
        <v>66</v>
      </c>
      <c r="H9" t="s">
        <v>67</v>
      </c>
      <c r="J9" s="14">
        <f t="shared" si="0"/>
        <v>331</v>
      </c>
      <c r="K9">
        <v>1300</v>
      </c>
      <c r="N9" t="s">
        <v>54</v>
      </c>
      <c r="Q9">
        <v>5</v>
      </c>
      <c r="U9">
        <v>3</v>
      </c>
      <c r="W9" t="s">
        <v>68</v>
      </c>
      <c r="X9" t="s">
        <v>40</v>
      </c>
      <c r="Y9" t="s">
        <v>40</v>
      </c>
      <c r="Z9" t="s">
        <v>69</v>
      </c>
      <c r="AA9">
        <f t="shared" si="1"/>
        <v>33.1</v>
      </c>
      <c r="AB9" s="17">
        <v>104</v>
      </c>
      <c r="AC9">
        <f t="shared" si="2"/>
        <v>0.84948665353068009</v>
      </c>
      <c r="AI9" t="e">
        <f>IF(Y9="Yes",NA(),#REF!)</f>
        <v>#N/A</v>
      </c>
      <c r="AJ9" t="e">
        <f>IF(Y9="Yes",NA(),#REF!)</f>
        <v>#N/A</v>
      </c>
      <c r="AK9" t="e">
        <f>IF(Y9="Yes",NA(),#REF!)</f>
        <v>#N/A</v>
      </c>
    </row>
    <row r="10" spans="1:37" x14ac:dyDescent="0.35">
      <c r="A10" s="12">
        <v>8</v>
      </c>
      <c r="C10">
        <v>2</v>
      </c>
      <c r="E10" s="13" t="s">
        <v>33</v>
      </c>
      <c r="F10" s="13">
        <v>4</v>
      </c>
      <c r="G10" t="s">
        <v>70</v>
      </c>
      <c r="H10" t="s">
        <v>71</v>
      </c>
      <c r="I10" t="s">
        <v>72</v>
      </c>
      <c r="J10" s="14">
        <f t="shared" si="0"/>
        <v>124.1</v>
      </c>
      <c r="K10">
        <v>1300</v>
      </c>
      <c r="N10" t="s">
        <v>54</v>
      </c>
      <c r="Q10" t="s">
        <v>38</v>
      </c>
      <c r="U10">
        <v>3</v>
      </c>
      <c r="W10" t="s">
        <v>73</v>
      </c>
      <c r="X10" t="s">
        <v>40</v>
      </c>
      <c r="Y10" t="s">
        <v>40</v>
      </c>
      <c r="Z10" t="s">
        <v>74</v>
      </c>
      <c r="AA10">
        <f t="shared" si="1"/>
        <v>12.41</v>
      </c>
      <c r="AB10" s="15">
        <v>39</v>
      </c>
      <c r="AC10">
        <f t="shared" si="2"/>
        <v>0.11945906065275187</v>
      </c>
      <c r="AI10" t="e">
        <f>IF(Y10="Yes",NA(),#REF!)</f>
        <v>#N/A</v>
      </c>
      <c r="AJ10" t="e">
        <f>IF(Y10="Yes",NA(),#REF!)</f>
        <v>#N/A</v>
      </c>
      <c r="AK10" t="e">
        <f>IF(Y10="Yes",NA(),#REF!)</f>
        <v>#N/A</v>
      </c>
    </row>
    <row r="11" spans="1:37" x14ac:dyDescent="0.35">
      <c r="A11" s="12">
        <v>9</v>
      </c>
      <c r="C11">
        <v>2</v>
      </c>
      <c r="E11" s="13" t="s">
        <v>75</v>
      </c>
      <c r="F11" s="13">
        <v>1</v>
      </c>
      <c r="G11" t="s">
        <v>76</v>
      </c>
      <c r="H11" t="s">
        <v>77</v>
      </c>
      <c r="J11" s="14">
        <f t="shared" si="0"/>
        <v>98.699999999999989</v>
      </c>
      <c r="K11">
        <v>1300</v>
      </c>
      <c r="N11" t="s">
        <v>54</v>
      </c>
      <c r="Q11" t="s">
        <v>55</v>
      </c>
      <c r="U11">
        <v>3</v>
      </c>
      <c r="W11" t="s">
        <v>78</v>
      </c>
      <c r="X11" t="s">
        <v>40</v>
      </c>
      <c r="Y11" t="s">
        <v>40</v>
      </c>
      <c r="AA11">
        <f t="shared" si="1"/>
        <v>9.8699999999999992</v>
      </c>
      <c r="AB11" s="15">
        <v>31</v>
      </c>
      <c r="AC11">
        <f t="shared" si="2"/>
        <v>7.5476763502494784E-2</v>
      </c>
      <c r="AI11" t="e">
        <f>IF(Y11="Yes",NA(),#REF!)</f>
        <v>#N/A</v>
      </c>
      <c r="AJ11" t="e">
        <f>IF(Y11="Yes",NA(),#REF!)</f>
        <v>#N/A</v>
      </c>
      <c r="AK11" t="e">
        <f>IF(Y11="Yes",NA(),#REF!)</f>
        <v>#N/A</v>
      </c>
    </row>
    <row r="12" spans="1:37" x14ac:dyDescent="0.35">
      <c r="A12" s="12">
        <v>10</v>
      </c>
      <c r="C12">
        <v>2</v>
      </c>
      <c r="E12" s="13">
        <v>6</v>
      </c>
      <c r="F12" s="13" t="s">
        <v>79</v>
      </c>
      <c r="G12" t="s">
        <v>70</v>
      </c>
      <c r="H12" t="s">
        <v>71</v>
      </c>
      <c r="J12" s="14">
        <f t="shared" si="0"/>
        <v>245.7</v>
      </c>
      <c r="K12">
        <v>1300</v>
      </c>
      <c r="N12" t="s">
        <v>54</v>
      </c>
      <c r="Q12">
        <v>4</v>
      </c>
      <c r="U12">
        <v>3</v>
      </c>
      <c r="W12" t="s">
        <v>80</v>
      </c>
      <c r="X12" t="s">
        <v>40</v>
      </c>
      <c r="Y12" t="s">
        <v>40</v>
      </c>
      <c r="AA12">
        <f t="shared" si="1"/>
        <v>24.57</v>
      </c>
      <c r="AB12" s="18">
        <v>77.2</v>
      </c>
      <c r="AC12">
        <f t="shared" si="2"/>
        <v>0.46808473901426489</v>
      </c>
      <c r="AI12" t="e">
        <f>IF(Y12="Yes",NA(),#REF!)</f>
        <v>#N/A</v>
      </c>
      <c r="AJ12" t="e">
        <f>IF(Y12="Yes",NA(),#REF!)</f>
        <v>#N/A</v>
      </c>
      <c r="AK12" t="e">
        <f>IF(Y12="Yes",NA(),#REF!)</f>
        <v>#N/A</v>
      </c>
    </row>
    <row r="13" spans="1:37" x14ac:dyDescent="0.35">
      <c r="A13" s="12">
        <v>11</v>
      </c>
      <c r="C13">
        <v>2</v>
      </c>
      <c r="E13" s="13" t="s">
        <v>58</v>
      </c>
      <c r="F13" s="13">
        <v>5</v>
      </c>
      <c r="G13" t="s">
        <v>63</v>
      </c>
      <c r="H13" t="s">
        <v>64</v>
      </c>
      <c r="J13" s="14">
        <f t="shared" si="0"/>
        <v>127.30000000000001</v>
      </c>
      <c r="K13">
        <v>1300</v>
      </c>
      <c r="N13" t="s">
        <v>81</v>
      </c>
      <c r="Q13">
        <v>4</v>
      </c>
      <c r="W13" t="s">
        <v>82</v>
      </c>
      <c r="Z13" t="s">
        <v>83</v>
      </c>
      <c r="AA13">
        <f t="shared" si="1"/>
        <v>12.73</v>
      </c>
      <c r="AB13" s="17">
        <v>40</v>
      </c>
      <c r="AC13">
        <f t="shared" si="2"/>
        <v>0.12566370614359174</v>
      </c>
      <c r="AI13" t="e">
        <f>IF(Y13="Yes",NA(),#REF!)</f>
        <v>#REF!</v>
      </c>
      <c r="AJ13" t="e">
        <f>IF(Y13="Yes",NA(),#REF!)</f>
        <v>#REF!</v>
      </c>
      <c r="AK13" t="e">
        <f>IF(Y13="Yes",NA(),#REF!)</f>
        <v>#REF!</v>
      </c>
    </row>
    <row r="14" spans="1:37" x14ac:dyDescent="0.35">
      <c r="A14" s="12">
        <v>12</v>
      </c>
      <c r="C14">
        <v>2</v>
      </c>
      <c r="E14" s="13" t="s">
        <v>84</v>
      </c>
      <c r="F14" s="13" t="s">
        <v>58</v>
      </c>
      <c r="G14" t="s">
        <v>66</v>
      </c>
      <c r="H14" t="s">
        <v>85</v>
      </c>
      <c r="I14" t="s">
        <v>86</v>
      </c>
      <c r="J14" s="14">
        <f t="shared" si="0"/>
        <v>105</v>
      </c>
      <c r="K14">
        <v>1300</v>
      </c>
      <c r="N14" t="s">
        <v>54</v>
      </c>
      <c r="Q14" t="s">
        <v>55</v>
      </c>
      <c r="U14">
        <v>3</v>
      </c>
      <c r="W14" t="s">
        <v>87</v>
      </c>
      <c r="X14" t="s">
        <v>40</v>
      </c>
      <c r="Y14" t="s">
        <v>40</v>
      </c>
      <c r="Z14" t="s">
        <v>88</v>
      </c>
      <c r="AA14">
        <f t="shared" si="1"/>
        <v>10.5</v>
      </c>
      <c r="AB14" s="15">
        <v>33</v>
      </c>
      <c r="AC14">
        <f t="shared" si="2"/>
        <v>8.5529859993982119E-2</v>
      </c>
      <c r="AI14" t="e">
        <f>IF(Y14="Yes",NA(),#REF!)</f>
        <v>#N/A</v>
      </c>
      <c r="AJ14" t="e">
        <f>IF(Y14="Yes",NA(),#REF!)</f>
        <v>#N/A</v>
      </c>
      <c r="AK14" t="e">
        <f>IF(Y14="Yes",NA(),#REF!)</f>
        <v>#N/A</v>
      </c>
    </row>
    <row r="15" spans="1:37" x14ac:dyDescent="0.35">
      <c r="A15" s="12">
        <v>13</v>
      </c>
      <c r="C15">
        <v>2</v>
      </c>
      <c r="E15" s="13">
        <v>2</v>
      </c>
      <c r="F15" s="13">
        <v>8</v>
      </c>
      <c r="G15" t="s">
        <v>89</v>
      </c>
      <c r="H15" t="s">
        <v>90</v>
      </c>
      <c r="J15" s="14">
        <f t="shared" si="0"/>
        <v>272.8</v>
      </c>
      <c r="K15">
        <v>1300</v>
      </c>
      <c r="N15" t="s">
        <v>54</v>
      </c>
      <c r="Q15">
        <v>5</v>
      </c>
      <c r="U15">
        <v>3</v>
      </c>
      <c r="W15" t="s">
        <v>91</v>
      </c>
      <c r="X15" t="s">
        <v>40</v>
      </c>
      <c r="Y15" t="s">
        <v>40</v>
      </c>
      <c r="AA15">
        <f t="shared" si="1"/>
        <v>27.28</v>
      </c>
      <c r="AB15" s="18">
        <v>85.7</v>
      </c>
      <c r="AC15">
        <f t="shared" si="2"/>
        <v>0.57683489570909263</v>
      </c>
      <c r="AI15" t="e">
        <f>IF(Y15="Yes",NA(),#REF!)</f>
        <v>#N/A</v>
      </c>
      <c r="AJ15" t="e">
        <f>IF(Y15="Yes",NA(),#REF!)</f>
        <v>#N/A</v>
      </c>
      <c r="AK15" t="e">
        <f>IF(Y15="Yes",NA(),#REF!)</f>
        <v>#N/A</v>
      </c>
    </row>
    <row r="16" spans="1:37" x14ac:dyDescent="0.35">
      <c r="A16" s="12">
        <v>14</v>
      </c>
      <c r="C16">
        <v>3</v>
      </c>
      <c r="E16" s="19" t="s">
        <v>92</v>
      </c>
      <c r="F16" s="19" t="s">
        <v>92</v>
      </c>
      <c r="G16" t="s">
        <v>63</v>
      </c>
      <c r="H16" s="20" t="s">
        <v>64</v>
      </c>
      <c r="J16" s="14">
        <f t="shared" si="0"/>
        <v>117.8</v>
      </c>
      <c r="K16">
        <v>1300</v>
      </c>
      <c r="N16" t="s">
        <v>54</v>
      </c>
      <c r="Q16">
        <v>5</v>
      </c>
      <c r="W16" t="s">
        <v>93</v>
      </c>
      <c r="AA16">
        <f t="shared" si="1"/>
        <v>11.78</v>
      </c>
      <c r="AB16" s="17">
        <v>37</v>
      </c>
      <c r="AC16">
        <f t="shared" si="2"/>
        <v>0.10752100856911068</v>
      </c>
      <c r="AI16" t="e">
        <f>IF(Y16="Yes",NA(),#REF!)</f>
        <v>#REF!</v>
      </c>
      <c r="AJ16" t="e">
        <f>IF(Y16="Yes",NA(),#REF!)</f>
        <v>#REF!</v>
      </c>
      <c r="AK16" t="e">
        <f>IF(Y16="Yes",NA(),#REF!)</f>
        <v>#REF!</v>
      </c>
    </row>
    <row r="17" spans="1:37" x14ac:dyDescent="0.35">
      <c r="A17" s="12">
        <v>15</v>
      </c>
      <c r="C17">
        <v>3</v>
      </c>
      <c r="E17" s="13" t="s">
        <v>94</v>
      </c>
      <c r="F17" s="13" t="s">
        <v>33</v>
      </c>
      <c r="G17" t="s">
        <v>34</v>
      </c>
      <c r="H17" t="s">
        <v>95</v>
      </c>
      <c r="J17" s="14">
        <f t="shared" si="0"/>
        <v>178.29999999999998</v>
      </c>
      <c r="K17">
        <v>1300</v>
      </c>
      <c r="N17" t="s">
        <v>37</v>
      </c>
      <c r="Q17">
        <v>4</v>
      </c>
      <c r="U17">
        <v>3</v>
      </c>
      <c r="W17" t="s">
        <v>96</v>
      </c>
      <c r="X17" t="s">
        <v>40</v>
      </c>
      <c r="Y17" t="s">
        <v>40</v>
      </c>
      <c r="Z17" t="s">
        <v>97</v>
      </c>
      <c r="AA17">
        <f t="shared" si="1"/>
        <v>17.829999999999998</v>
      </c>
      <c r="AB17" s="17">
        <v>56</v>
      </c>
      <c r="AC17">
        <f t="shared" si="2"/>
        <v>0.24630086404143978</v>
      </c>
      <c r="AI17" t="e">
        <f>IF(Y17="Yes",NA(),#REF!)</f>
        <v>#N/A</v>
      </c>
      <c r="AJ17" t="e">
        <f>IF(Y17="Yes",NA(),#REF!)</f>
        <v>#N/A</v>
      </c>
      <c r="AK17" t="e">
        <f>IF(Y17="Yes",NA(),#REF!)</f>
        <v>#N/A</v>
      </c>
    </row>
    <row r="18" spans="1:37" x14ac:dyDescent="0.35">
      <c r="A18" s="12">
        <v>16</v>
      </c>
      <c r="C18">
        <v>3</v>
      </c>
      <c r="E18" s="13">
        <v>3</v>
      </c>
      <c r="F18" s="13">
        <v>3</v>
      </c>
      <c r="G18" t="s">
        <v>63</v>
      </c>
      <c r="H18" t="s">
        <v>64</v>
      </c>
      <c r="J18" s="14">
        <f t="shared" si="0"/>
        <v>127.30000000000001</v>
      </c>
      <c r="K18">
        <v>1300</v>
      </c>
      <c r="N18" t="s">
        <v>54</v>
      </c>
      <c r="Q18">
        <v>5</v>
      </c>
      <c r="W18" t="s">
        <v>98</v>
      </c>
      <c r="AA18">
        <f t="shared" si="1"/>
        <v>12.73</v>
      </c>
      <c r="AB18" s="17">
        <v>40</v>
      </c>
      <c r="AC18">
        <f t="shared" si="2"/>
        <v>0.12566370614359174</v>
      </c>
      <c r="AI18" t="e">
        <f>IF(Y18="Yes",NA(),#REF!)</f>
        <v>#REF!</v>
      </c>
      <c r="AJ18" t="e">
        <f>IF(Y18="Yes",NA(),#REF!)</f>
        <v>#REF!</v>
      </c>
      <c r="AK18" t="e">
        <f>IF(Y18="Yes",NA(),#REF!)</f>
        <v>#REF!</v>
      </c>
    </row>
    <row r="19" spans="1:37" x14ac:dyDescent="0.35">
      <c r="A19" s="12">
        <v>17</v>
      </c>
      <c r="C19">
        <v>3</v>
      </c>
      <c r="E19" s="13">
        <v>5</v>
      </c>
      <c r="F19" s="13" t="s">
        <v>79</v>
      </c>
      <c r="G19" t="s">
        <v>47</v>
      </c>
      <c r="H19" t="s">
        <v>99</v>
      </c>
      <c r="J19" s="14">
        <f t="shared" si="0"/>
        <v>208.5</v>
      </c>
      <c r="K19">
        <v>1300</v>
      </c>
      <c r="N19" t="s">
        <v>54</v>
      </c>
      <c r="Q19">
        <v>5</v>
      </c>
      <c r="U19">
        <v>3</v>
      </c>
      <c r="W19" t="s">
        <v>100</v>
      </c>
      <c r="X19" t="s">
        <v>40</v>
      </c>
      <c r="Y19" t="s">
        <v>40</v>
      </c>
      <c r="AA19">
        <f t="shared" si="1"/>
        <v>20.85</v>
      </c>
      <c r="AB19" s="18">
        <v>65.5</v>
      </c>
      <c r="AC19">
        <f t="shared" si="2"/>
        <v>0.33695544705159025</v>
      </c>
      <c r="AI19" t="e">
        <f>IF(Y19="Yes",NA(),#REF!)</f>
        <v>#N/A</v>
      </c>
      <c r="AJ19" t="e">
        <f>IF(Y19="Yes",NA(),#REF!)</f>
        <v>#N/A</v>
      </c>
      <c r="AK19" t="e">
        <f>IF(Y19="Yes",NA(),#REF!)</f>
        <v>#N/A</v>
      </c>
    </row>
    <row r="20" spans="1:37" x14ac:dyDescent="0.35">
      <c r="A20" s="12">
        <v>18</v>
      </c>
      <c r="C20">
        <v>3</v>
      </c>
      <c r="E20" s="13">
        <v>7</v>
      </c>
      <c r="F20" s="13">
        <v>1</v>
      </c>
      <c r="G20" t="s">
        <v>34</v>
      </c>
      <c r="H20" t="s">
        <v>35</v>
      </c>
      <c r="I20" t="s">
        <v>101</v>
      </c>
      <c r="J20" s="14">
        <f t="shared" si="0"/>
        <v>191</v>
      </c>
      <c r="K20">
        <v>1300</v>
      </c>
      <c r="N20" t="s">
        <v>37</v>
      </c>
      <c r="Q20">
        <v>4</v>
      </c>
      <c r="U20">
        <v>5</v>
      </c>
      <c r="W20" t="s">
        <v>102</v>
      </c>
      <c r="X20" t="s">
        <v>40</v>
      </c>
      <c r="Y20" t="s">
        <v>40</v>
      </c>
      <c r="Z20" t="s">
        <v>103</v>
      </c>
      <c r="AA20">
        <f t="shared" si="1"/>
        <v>19.100000000000001</v>
      </c>
      <c r="AB20" s="15">
        <v>60</v>
      </c>
      <c r="AC20">
        <f t="shared" si="2"/>
        <v>0.28274333882308139</v>
      </c>
      <c r="AI20" t="e">
        <f>IF(Y20="Yes",NA(),#REF!)</f>
        <v>#N/A</v>
      </c>
      <c r="AJ20" t="e">
        <f>IF(Y20="Yes",NA(),#REF!)</f>
        <v>#N/A</v>
      </c>
      <c r="AK20" t="e">
        <f>IF(Y20="Yes",NA(),#REF!)</f>
        <v>#N/A</v>
      </c>
    </row>
    <row r="21" spans="1:37" x14ac:dyDescent="0.35">
      <c r="A21" s="12">
        <v>19</v>
      </c>
      <c r="C21">
        <v>3</v>
      </c>
      <c r="E21" s="13">
        <v>7</v>
      </c>
      <c r="F21" s="13">
        <v>2</v>
      </c>
      <c r="G21" t="s">
        <v>104</v>
      </c>
      <c r="H21" t="s">
        <v>105</v>
      </c>
      <c r="J21" s="14">
        <f t="shared" si="0"/>
        <v>350.09999999999997</v>
      </c>
      <c r="K21">
        <v>1300</v>
      </c>
      <c r="N21" t="s">
        <v>54</v>
      </c>
      <c r="Q21">
        <v>5</v>
      </c>
      <c r="U21">
        <v>3</v>
      </c>
      <c r="W21" t="s">
        <v>106</v>
      </c>
      <c r="X21" t="s">
        <v>40</v>
      </c>
      <c r="Y21" t="s">
        <v>40</v>
      </c>
      <c r="Z21" t="s">
        <v>107</v>
      </c>
      <c r="AA21">
        <f t="shared" si="1"/>
        <v>35.01</v>
      </c>
      <c r="AB21" s="15">
        <v>110</v>
      </c>
      <c r="AC21">
        <f t="shared" si="2"/>
        <v>0.95033177771091248</v>
      </c>
      <c r="AI21" t="e">
        <f>IF(Y21="Yes",NA(),#REF!)</f>
        <v>#N/A</v>
      </c>
      <c r="AJ21" t="e">
        <f>IF(Y21="Yes",NA(),#REF!)</f>
        <v>#N/A</v>
      </c>
      <c r="AK21" t="e">
        <f>IF(Y21="Yes",NA(),#REF!)</f>
        <v>#N/A</v>
      </c>
    </row>
    <row r="22" spans="1:37" x14ac:dyDescent="0.35">
      <c r="A22" s="12">
        <v>20</v>
      </c>
      <c r="C22">
        <v>3</v>
      </c>
      <c r="E22" s="13">
        <v>9</v>
      </c>
      <c r="F22" s="13" t="s">
        <v>75</v>
      </c>
      <c r="G22" t="s">
        <v>108</v>
      </c>
      <c r="H22" t="s">
        <v>35</v>
      </c>
      <c r="J22" s="14">
        <f t="shared" si="0"/>
        <v>167.10000000000002</v>
      </c>
      <c r="K22">
        <v>1300</v>
      </c>
      <c r="N22" t="s">
        <v>54</v>
      </c>
      <c r="Q22">
        <v>5</v>
      </c>
      <c r="U22">
        <v>5</v>
      </c>
      <c r="W22" t="s">
        <v>109</v>
      </c>
      <c r="X22" t="s">
        <v>40</v>
      </c>
      <c r="Y22" t="s">
        <v>40</v>
      </c>
      <c r="AA22">
        <f t="shared" si="1"/>
        <v>16.71</v>
      </c>
      <c r="AB22" s="18">
        <v>52.5</v>
      </c>
      <c r="AC22">
        <f t="shared" si="2"/>
        <v>0.21647536878642168</v>
      </c>
      <c r="AI22" t="e">
        <f>IF(Y22="Yes",NA(),#REF!)</f>
        <v>#N/A</v>
      </c>
      <c r="AJ22" t="e">
        <f>IF(Y22="Yes",NA(),#REF!)</f>
        <v>#N/A</v>
      </c>
      <c r="AK22" t="e">
        <f>IF(Y22="Yes",NA(),#REF!)</f>
        <v>#N/A</v>
      </c>
    </row>
    <row r="23" spans="1:37" x14ac:dyDescent="0.35">
      <c r="A23" s="12">
        <v>21</v>
      </c>
      <c r="C23">
        <v>3</v>
      </c>
      <c r="E23" s="13" t="s">
        <v>51</v>
      </c>
      <c r="F23" s="13">
        <v>7</v>
      </c>
      <c r="G23" t="s">
        <v>66</v>
      </c>
      <c r="H23" t="s">
        <v>67</v>
      </c>
      <c r="J23" s="14">
        <f t="shared" si="0"/>
        <v>108.2</v>
      </c>
      <c r="K23">
        <v>1300</v>
      </c>
      <c r="N23" t="s">
        <v>54</v>
      </c>
      <c r="Q23">
        <v>4</v>
      </c>
      <c r="U23">
        <v>3</v>
      </c>
      <c r="W23" t="s">
        <v>110</v>
      </c>
      <c r="X23" t="s">
        <v>40</v>
      </c>
      <c r="Y23" t="s">
        <v>40</v>
      </c>
      <c r="AA23">
        <f t="shared" si="1"/>
        <v>10.82</v>
      </c>
      <c r="AB23" s="17">
        <v>34</v>
      </c>
      <c r="AC23">
        <f t="shared" si="2"/>
        <v>9.0792027688745031E-2</v>
      </c>
      <c r="AI23" t="e">
        <f>IF(Y23="Yes",NA(),#REF!)</f>
        <v>#N/A</v>
      </c>
      <c r="AJ23" t="e">
        <f>IF(Y23="Yes",NA(),#REF!)</f>
        <v>#N/A</v>
      </c>
      <c r="AK23" t="e">
        <f>IF(Y23="Yes",NA(),#REF!)</f>
        <v>#N/A</v>
      </c>
    </row>
    <row r="24" spans="1:37" x14ac:dyDescent="0.35">
      <c r="A24" s="12">
        <v>22</v>
      </c>
      <c r="C24">
        <v>3</v>
      </c>
      <c r="E24" s="13" t="s">
        <v>111</v>
      </c>
      <c r="F24" s="13" t="s">
        <v>52</v>
      </c>
      <c r="G24" t="s">
        <v>112</v>
      </c>
      <c r="H24" t="s">
        <v>35</v>
      </c>
      <c r="I24" t="s">
        <v>72</v>
      </c>
      <c r="J24" s="14">
        <f t="shared" si="0"/>
        <v>157.6</v>
      </c>
      <c r="K24">
        <v>1300</v>
      </c>
      <c r="N24" t="s">
        <v>54</v>
      </c>
      <c r="Q24">
        <v>5</v>
      </c>
      <c r="U24">
        <v>3</v>
      </c>
      <c r="W24" t="s">
        <v>113</v>
      </c>
      <c r="X24" t="s">
        <v>40</v>
      </c>
      <c r="Y24" t="s">
        <v>40</v>
      </c>
      <c r="Z24" t="s">
        <v>74</v>
      </c>
      <c r="AA24">
        <f t="shared" si="1"/>
        <v>15.76</v>
      </c>
      <c r="AB24" s="18">
        <v>49.5</v>
      </c>
      <c r="AC24">
        <f t="shared" si="2"/>
        <v>0.19244218498645979</v>
      </c>
      <c r="AI24" t="e">
        <f>IF(Y24="Yes",NA(),#REF!)</f>
        <v>#N/A</v>
      </c>
      <c r="AJ24" t="e">
        <f>IF(Y24="Yes",NA(),#REF!)</f>
        <v>#N/A</v>
      </c>
      <c r="AK24" t="e">
        <f>IF(Y24="Yes",NA(),#REF!)</f>
        <v>#N/A</v>
      </c>
    </row>
    <row r="25" spans="1:37" x14ac:dyDescent="0.35">
      <c r="A25" s="12">
        <v>23</v>
      </c>
      <c r="C25">
        <v>3</v>
      </c>
      <c r="E25" s="13">
        <v>8</v>
      </c>
      <c r="F25" s="13">
        <v>9</v>
      </c>
      <c r="G25" t="s">
        <v>114</v>
      </c>
      <c r="H25" t="s">
        <v>35</v>
      </c>
      <c r="J25" s="14">
        <f t="shared" si="0"/>
        <v>286.5</v>
      </c>
      <c r="K25">
        <v>1300</v>
      </c>
      <c r="N25" t="s">
        <v>54</v>
      </c>
      <c r="Q25">
        <v>5</v>
      </c>
      <c r="W25" t="s">
        <v>115</v>
      </c>
      <c r="AA25">
        <f t="shared" si="1"/>
        <v>28.65</v>
      </c>
      <c r="AB25" s="15">
        <v>90</v>
      </c>
      <c r="AC25">
        <f t="shared" si="2"/>
        <v>0.63617251235193317</v>
      </c>
      <c r="AI25" t="e">
        <f>IF(Y25="Yes",NA(),#REF!)</f>
        <v>#REF!</v>
      </c>
      <c r="AJ25" t="e">
        <f>IF(Y25="Yes",NA(),#REF!)</f>
        <v>#REF!</v>
      </c>
      <c r="AK25" t="e">
        <f>IF(Y25="Yes",NA(),#REF!)</f>
        <v>#REF!</v>
      </c>
    </row>
    <row r="26" spans="1:37" x14ac:dyDescent="0.35">
      <c r="A26" s="12">
        <v>24</v>
      </c>
      <c r="C26">
        <v>3</v>
      </c>
      <c r="E26" s="13">
        <v>5</v>
      </c>
      <c r="F26" s="13">
        <v>9</v>
      </c>
      <c r="G26" t="s">
        <v>42</v>
      </c>
      <c r="H26" t="s">
        <v>116</v>
      </c>
      <c r="J26" s="14">
        <f t="shared" si="0"/>
        <v>361.3</v>
      </c>
      <c r="K26">
        <v>1300</v>
      </c>
      <c r="N26" t="s">
        <v>117</v>
      </c>
      <c r="Q26">
        <v>4</v>
      </c>
      <c r="U26">
        <v>7</v>
      </c>
      <c r="W26" t="s">
        <v>118</v>
      </c>
      <c r="X26" t="s">
        <v>40</v>
      </c>
      <c r="Y26" t="s">
        <v>40</v>
      </c>
      <c r="Z26" t="s">
        <v>119</v>
      </c>
      <c r="AA26">
        <f t="shared" si="1"/>
        <v>36.130000000000003</v>
      </c>
      <c r="AB26" s="18">
        <v>113.5</v>
      </c>
      <c r="AC26">
        <f t="shared" si="2"/>
        <v>1.0117695490426777</v>
      </c>
      <c r="AI26" t="e">
        <f>IF(Y26="Yes",NA(),#REF!)</f>
        <v>#N/A</v>
      </c>
      <c r="AJ26" t="e">
        <f>IF(Y26="Yes",NA(),#REF!)</f>
        <v>#N/A</v>
      </c>
      <c r="AK26" t="e">
        <f>IF(Y26="Yes",NA(),#REF!)</f>
        <v>#N/A</v>
      </c>
    </row>
    <row r="27" spans="1:37" x14ac:dyDescent="0.35">
      <c r="A27" s="12">
        <v>25</v>
      </c>
      <c r="C27">
        <v>3</v>
      </c>
      <c r="E27" s="13">
        <v>5</v>
      </c>
      <c r="F27" s="13">
        <v>8</v>
      </c>
      <c r="G27" t="s">
        <v>63</v>
      </c>
      <c r="H27" t="s">
        <v>64</v>
      </c>
      <c r="J27" s="14">
        <f t="shared" si="0"/>
        <v>117.8</v>
      </c>
      <c r="K27">
        <v>1300</v>
      </c>
      <c r="N27" t="s">
        <v>61</v>
      </c>
      <c r="Q27">
        <v>4</v>
      </c>
      <c r="W27" t="s">
        <v>120</v>
      </c>
      <c r="AA27">
        <f t="shared" si="1"/>
        <v>11.78</v>
      </c>
      <c r="AB27" s="17">
        <v>37</v>
      </c>
      <c r="AC27">
        <f t="shared" si="2"/>
        <v>0.10752100856911068</v>
      </c>
      <c r="AI27" t="e">
        <f>IF(Y27="Yes",NA(),#REF!)</f>
        <v>#REF!</v>
      </c>
      <c r="AJ27" t="e">
        <f>IF(Y27="Yes",NA(),#REF!)</f>
        <v>#REF!</v>
      </c>
      <c r="AK27" t="e">
        <f>IF(Y27="Yes",NA(),#REF!)</f>
        <v>#REF!</v>
      </c>
    </row>
    <row r="28" spans="1:37" x14ac:dyDescent="0.35">
      <c r="A28" s="12">
        <v>26</v>
      </c>
      <c r="C28">
        <v>3</v>
      </c>
      <c r="E28" s="13" t="s">
        <v>121</v>
      </c>
      <c r="F28" s="13" t="s">
        <v>122</v>
      </c>
      <c r="G28" t="s">
        <v>89</v>
      </c>
      <c r="H28" t="s">
        <v>90</v>
      </c>
      <c r="J28" s="14">
        <f t="shared" si="0"/>
        <v>431.9</v>
      </c>
      <c r="K28">
        <v>1300</v>
      </c>
      <c r="N28" t="s">
        <v>54</v>
      </c>
      <c r="Q28">
        <v>5</v>
      </c>
      <c r="U28">
        <v>8</v>
      </c>
      <c r="W28" t="s">
        <v>123</v>
      </c>
      <c r="X28" t="s">
        <v>40</v>
      </c>
      <c r="Y28" t="s">
        <v>40</v>
      </c>
      <c r="Z28" t="s">
        <v>124</v>
      </c>
      <c r="AA28">
        <f t="shared" si="1"/>
        <v>43.19</v>
      </c>
      <c r="AB28" s="18">
        <v>135.69999999999999</v>
      </c>
      <c r="AC28">
        <f t="shared" si="2"/>
        <v>1.4462706625900674</v>
      </c>
      <c r="AI28" t="e">
        <f>IF(Y28="Yes",NA(),#REF!)</f>
        <v>#N/A</v>
      </c>
      <c r="AJ28" t="e">
        <f>IF(Y28="Yes",NA(),#REF!)</f>
        <v>#N/A</v>
      </c>
      <c r="AK28" t="e">
        <f>IF(Y28="Yes",NA(),#REF!)</f>
        <v>#N/A</v>
      </c>
    </row>
    <row r="29" spans="1:37" x14ac:dyDescent="0.35">
      <c r="A29" s="12">
        <v>27</v>
      </c>
      <c r="C29">
        <v>3</v>
      </c>
      <c r="E29" s="13" t="s">
        <v>111</v>
      </c>
      <c r="F29" s="13" t="s">
        <v>125</v>
      </c>
      <c r="G29" t="s">
        <v>126</v>
      </c>
      <c r="H29" s="20" t="s">
        <v>127</v>
      </c>
      <c r="J29" s="14">
        <f t="shared" si="0"/>
        <v>98.699999999999989</v>
      </c>
      <c r="K29">
        <v>1300</v>
      </c>
      <c r="N29" t="s">
        <v>54</v>
      </c>
      <c r="Q29">
        <v>1</v>
      </c>
      <c r="U29">
        <v>3</v>
      </c>
      <c r="W29" t="s">
        <v>128</v>
      </c>
      <c r="Y29" t="s">
        <v>40</v>
      </c>
      <c r="AA29">
        <f t="shared" si="1"/>
        <v>9.8699999999999992</v>
      </c>
      <c r="AB29" s="15">
        <v>31</v>
      </c>
      <c r="AC29">
        <f t="shared" si="2"/>
        <v>7.5476763502494784E-2</v>
      </c>
      <c r="AI29" t="e">
        <f>IF(Y29="Yes",NA(),#REF!)</f>
        <v>#N/A</v>
      </c>
      <c r="AJ29" t="e">
        <f>IF(Y29="Yes",NA(),#REF!)</f>
        <v>#N/A</v>
      </c>
      <c r="AK29" t="e">
        <f>IF(Y29="Yes",NA(),#REF!)</f>
        <v>#N/A</v>
      </c>
    </row>
    <row r="30" spans="1:37" x14ac:dyDescent="0.35">
      <c r="A30" s="12">
        <v>28</v>
      </c>
      <c r="C30">
        <v>3</v>
      </c>
      <c r="E30" s="13">
        <v>3</v>
      </c>
      <c r="F30" s="13">
        <v>7</v>
      </c>
      <c r="G30" t="s">
        <v>34</v>
      </c>
      <c r="H30" t="s">
        <v>129</v>
      </c>
      <c r="I30" t="s">
        <v>130</v>
      </c>
      <c r="J30" s="14">
        <f t="shared" si="0"/>
        <v>133.69999999999999</v>
      </c>
      <c r="K30">
        <v>1300</v>
      </c>
      <c r="N30" t="s">
        <v>37</v>
      </c>
      <c r="Q30">
        <v>4</v>
      </c>
      <c r="U30">
        <v>5</v>
      </c>
      <c r="W30" t="s">
        <v>131</v>
      </c>
      <c r="X30" t="s">
        <v>40</v>
      </c>
      <c r="Y30" t="s">
        <v>40</v>
      </c>
      <c r="Z30" t="s">
        <v>132</v>
      </c>
      <c r="AA30">
        <f t="shared" si="1"/>
        <v>13.37</v>
      </c>
      <c r="AB30" s="15">
        <v>42</v>
      </c>
      <c r="AC30">
        <f t="shared" si="2"/>
        <v>0.1385442360233099</v>
      </c>
      <c r="AI30" t="e">
        <f>IF(Y30="Yes",NA(),#REF!)</f>
        <v>#N/A</v>
      </c>
      <c r="AJ30" t="e">
        <f>IF(Y30="Yes",NA(),#REF!)</f>
        <v>#N/A</v>
      </c>
      <c r="AK30" t="e">
        <f>IF(Y30="Yes",NA(),#REF!)</f>
        <v>#N/A</v>
      </c>
    </row>
    <row r="31" spans="1:37" x14ac:dyDescent="0.35">
      <c r="A31" s="12">
        <v>29</v>
      </c>
      <c r="C31">
        <v>3</v>
      </c>
      <c r="E31" s="13" t="s">
        <v>121</v>
      </c>
      <c r="F31" s="13">
        <v>5</v>
      </c>
      <c r="G31" t="s">
        <v>66</v>
      </c>
      <c r="H31" t="s">
        <v>67</v>
      </c>
      <c r="J31" s="14">
        <f t="shared" si="0"/>
        <v>127.30000000000001</v>
      </c>
      <c r="K31">
        <v>1300</v>
      </c>
      <c r="N31" t="s">
        <v>54</v>
      </c>
      <c r="Q31">
        <v>5</v>
      </c>
      <c r="U31">
        <v>2</v>
      </c>
      <c r="W31" t="s">
        <v>133</v>
      </c>
      <c r="X31" t="s">
        <v>40</v>
      </c>
      <c r="Y31" t="s">
        <v>40</v>
      </c>
      <c r="AA31">
        <f t="shared" si="1"/>
        <v>12.73</v>
      </c>
      <c r="AB31" s="17">
        <v>40</v>
      </c>
      <c r="AC31">
        <f t="shared" si="2"/>
        <v>0.12566370614359174</v>
      </c>
      <c r="AI31" t="e">
        <f>IF(Y31="Yes",NA(),#REF!)</f>
        <v>#N/A</v>
      </c>
      <c r="AJ31" t="e">
        <f>IF(Y31="Yes",NA(),#REF!)</f>
        <v>#N/A</v>
      </c>
      <c r="AK31" t="e">
        <f>IF(Y31="Yes",NA(),#REF!)</f>
        <v>#N/A</v>
      </c>
    </row>
    <row r="32" spans="1:37" x14ac:dyDescent="0.35">
      <c r="A32" s="12">
        <v>30</v>
      </c>
      <c r="C32">
        <v>4</v>
      </c>
      <c r="E32" s="13" t="s">
        <v>111</v>
      </c>
      <c r="F32" s="13">
        <v>3</v>
      </c>
      <c r="G32" t="s">
        <v>126</v>
      </c>
      <c r="H32" t="s">
        <v>127</v>
      </c>
      <c r="J32" s="14">
        <f t="shared" si="0"/>
        <v>135.29999999999998</v>
      </c>
      <c r="K32">
        <v>1300</v>
      </c>
      <c r="N32" t="s">
        <v>54</v>
      </c>
      <c r="Q32" t="s">
        <v>134</v>
      </c>
      <c r="U32">
        <v>3</v>
      </c>
      <c r="W32" t="s">
        <v>135</v>
      </c>
      <c r="X32" t="s">
        <v>40</v>
      </c>
      <c r="Y32" t="s">
        <v>40</v>
      </c>
      <c r="Z32" t="s">
        <v>136</v>
      </c>
      <c r="AA32">
        <f t="shared" si="1"/>
        <v>13.53</v>
      </c>
      <c r="AB32" s="18">
        <v>42.5</v>
      </c>
      <c r="AC32">
        <f t="shared" si="2"/>
        <v>0.1418625432636641</v>
      </c>
      <c r="AI32" t="e">
        <f>IF(Y32="Yes",NA(),#REF!)</f>
        <v>#N/A</v>
      </c>
      <c r="AJ32" t="e">
        <f>IF(Y32="Yes",NA(),#REF!)</f>
        <v>#N/A</v>
      </c>
      <c r="AK32" t="e">
        <f>IF(Y32="Yes",NA(),#REF!)</f>
        <v>#N/A</v>
      </c>
    </row>
    <row r="33" spans="1:37" x14ac:dyDescent="0.35">
      <c r="A33" s="12">
        <v>31</v>
      </c>
      <c r="C33">
        <v>4</v>
      </c>
      <c r="E33" s="13">
        <v>4</v>
      </c>
      <c r="F33" s="13" t="s">
        <v>121</v>
      </c>
      <c r="G33" t="s">
        <v>137</v>
      </c>
      <c r="H33" t="s">
        <v>138</v>
      </c>
      <c r="J33" s="14">
        <f t="shared" si="0"/>
        <v>281.70000000000005</v>
      </c>
      <c r="K33">
        <v>1300</v>
      </c>
      <c r="N33" t="s">
        <v>61</v>
      </c>
      <c r="Q33">
        <v>5</v>
      </c>
      <c r="U33">
        <v>3</v>
      </c>
      <c r="W33" t="s">
        <v>139</v>
      </c>
      <c r="X33" t="s">
        <v>40</v>
      </c>
      <c r="Y33" t="s">
        <v>40</v>
      </c>
      <c r="Z33" t="s">
        <v>140</v>
      </c>
      <c r="AA33">
        <f t="shared" si="1"/>
        <v>28.17</v>
      </c>
      <c r="AB33" s="18">
        <v>88.5</v>
      </c>
      <c r="AC33">
        <f t="shared" si="2"/>
        <v>0.61514347652696655</v>
      </c>
      <c r="AI33" t="e">
        <f>IF(Y33="Yes",NA(),#REF!)</f>
        <v>#N/A</v>
      </c>
      <c r="AJ33" t="e">
        <f>IF(Y33="Yes",NA(),#REF!)</f>
        <v>#N/A</v>
      </c>
      <c r="AK33" t="e">
        <f>IF(Y33="Yes",NA(),#REF!)</f>
        <v>#N/A</v>
      </c>
    </row>
    <row r="34" spans="1:37" x14ac:dyDescent="0.35">
      <c r="A34" s="12">
        <v>32</v>
      </c>
      <c r="C34">
        <v>4</v>
      </c>
      <c r="E34" s="13">
        <v>6</v>
      </c>
      <c r="F34" s="13" t="s">
        <v>121</v>
      </c>
      <c r="G34" t="s">
        <v>112</v>
      </c>
      <c r="H34" t="s">
        <v>141</v>
      </c>
      <c r="I34" t="s">
        <v>142</v>
      </c>
      <c r="J34" s="14">
        <f t="shared" si="0"/>
        <v>108.2</v>
      </c>
      <c r="K34">
        <v>1300</v>
      </c>
      <c r="N34" t="s">
        <v>54</v>
      </c>
      <c r="Q34" t="s">
        <v>134</v>
      </c>
      <c r="U34">
        <v>3</v>
      </c>
      <c r="W34" t="s">
        <v>143</v>
      </c>
      <c r="X34" t="s">
        <v>40</v>
      </c>
      <c r="Y34" t="s">
        <v>40</v>
      </c>
      <c r="Z34" t="s">
        <v>144</v>
      </c>
      <c r="AA34">
        <f t="shared" si="1"/>
        <v>10.82</v>
      </c>
      <c r="AB34" s="15">
        <v>34</v>
      </c>
      <c r="AC34">
        <f t="shared" si="2"/>
        <v>9.0792027688745031E-2</v>
      </c>
      <c r="AI34" t="e">
        <f>IF(Y34="Yes",NA(),#REF!)</f>
        <v>#N/A</v>
      </c>
      <c r="AJ34" t="e">
        <f>IF(Y34="Yes",NA(),#REF!)</f>
        <v>#N/A</v>
      </c>
      <c r="AK34" t="e">
        <f>IF(Y34="Yes",NA(),#REF!)</f>
        <v>#N/A</v>
      </c>
    </row>
    <row r="35" spans="1:37" x14ac:dyDescent="0.35">
      <c r="A35" s="12">
        <v>33</v>
      </c>
      <c r="C35">
        <v>4</v>
      </c>
      <c r="E35" s="13">
        <v>7</v>
      </c>
      <c r="F35" s="13" t="s">
        <v>111</v>
      </c>
      <c r="G35" t="s">
        <v>145</v>
      </c>
      <c r="H35" t="s">
        <v>146</v>
      </c>
      <c r="J35" s="14">
        <f t="shared" ref="J35:J66" si="3">ROUND(AB35/PI(), 2)*10</f>
        <v>130.5</v>
      </c>
      <c r="K35">
        <v>1300</v>
      </c>
      <c r="N35" t="s">
        <v>54</v>
      </c>
      <c r="Q35" t="s">
        <v>55</v>
      </c>
      <c r="U35">
        <v>3</v>
      </c>
      <c r="W35" t="s">
        <v>147</v>
      </c>
      <c r="X35" t="s">
        <v>40</v>
      </c>
      <c r="Y35" t="s">
        <v>40</v>
      </c>
      <c r="AA35">
        <f t="shared" si="1"/>
        <v>13.05</v>
      </c>
      <c r="AB35" s="15">
        <v>41</v>
      </c>
      <c r="AC35">
        <f t="shared" ref="AC35:AC66" si="4">PI()*(AB35/2)*(AB35/2)/10000</f>
        <v>0.13202543126711105</v>
      </c>
      <c r="AI35" t="e">
        <f>IF(Y35="Yes",NA(),#REF!)</f>
        <v>#N/A</v>
      </c>
      <c r="AJ35" t="e">
        <f>IF(Y35="Yes",NA(),#REF!)</f>
        <v>#N/A</v>
      </c>
      <c r="AK35" t="e">
        <f>IF(Y35="Yes",NA(),#REF!)</f>
        <v>#N/A</v>
      </c>
    </row>
    <row r="36" spans="1:37" x14ac:dyDescent="0.35">
      <c r="A36" s="12">
        <v>34</v>
      </c>
      <c r="C36">
        <v>4</v>
      </c>
      <c r="E36" s="13" t="s">
        <v>58</v>
      </c>
      <c r="F36" s="13">
        <v>1</v>
      </c>
      <c r="G36" t="s">
        <v>66</v>
      </c>
      <c r="H36" t="s">
        <v>148</v>
      </c>
      <c r="I36" t="s">
        <v>86</v>
      </c>
      <c r="J36" s="14">
        <f t="shared" si="3"/>
        <v>143.19999999999999</v>
      </c>
      <c r="K36">
        <v>1300</v>
      </c>
      <c r="N36" t="s">
        <v>54</v>
      </c>
      <c r="Q36">
        <v>4</v>
      </c>
      <c r="U36">
        <v>3</v>
      </c>
      <c r="W36" t="s">
        <v>149</v>
      </c>
      <c r="X36" t="s">
        <v>40</v>
      </c>
      <c r="Y36" t="s">
        <v>40</v>
      </c>
      <c r="AA36">
        <f t="shared" si="1"/>
        <v>14.32</v>
      </c>
      <c r="AB36" s="15">
        <v>45</v>
      </c>
      <c r="AC36">
        <f t="shared" si="4"/>
        <v>0.15904312808798329</v>
      </c>
      <c r="AI36" t="e">
        <f>IF(Y36="Yes",NA(),#REF!)</f>
        <v>#N/A</v>
      </c>
      <c r="AJ36" t="e">
        <f>IF(Y36="Yes",NA(),#REF!)</f>
        <v>#N/A</v>
      </c>
      <c r="AK36" t="e">
        <f>IF(Y36="Yes",NA(),#REF!)</f>
        <v>#N/A</v>
      </c>
    </row>
    <row r="37" spans="1:37" x14ac:dyDescent="0.35">
      <c r="A37" s="12">
        <v>35</v>
      </c>
      <c r="C37">
        <v>4</v>
      </c>
      <c r="E37" s="13" t="s">
        <v>51</v>
      </c>
      <c r="F37" s="13" t="s">
        <v>150</v>
      </c>
      <c r="G37" t="s">
        <v>114</v>
      </c>
      <c r="H37" t="s">
        <v>35</v>
      </c>
      <c r="J37" s="14">
        <f t="shared" si="3"/>
        <v>147.10000000000002</v>
      </c>
      <c r="K37">
        <v>1300</v>
      </c>
      <c r="N37" t="s">
        <v>54</v>
      </c>
      <c r="Q37">
        <v>5</v>
      </c>
      <c r="U37">
        <v>3</v>
      </c>
      <c r="W37" t="s">
        <v>151</v>
      </c>
      <c r="X37" t="s">
        <v>40</v>
      </c>
      <c r="Y37" t="s">
        <v>40</v>
      </c>
      <c r="AA37">
        <f t="shared" si="1"/>
        <v>14.71</v>
      </c>
      <c r="AB37" s="18">
        <v>46.2</v>
      </c>
      <c r="AC37">
        <f t="shared" si="4"/>
        <v>0.16763852558820494</v>
      </c>
      <c r="AI37" t="e">
        <f>IF(Y37="Yes",NA(),#REF!)</f>
        <v>#N/A</v>
      </c>
      <c r="AJ37" t="e">
        <f>IF(Y37="Yes",NA(),#REF!)</f>
        <v>#N/A</v>
      </c>
      <c r="AK37" t="e">
        <f>IF(Y37="Yes",NA(),#REF!)</f>
        <v>#N/A</v>
      </c>
    </row>
    <row r="38" spans="1:37" x14ac:dyDescent="0.35">
      <c r="A38" s="12">
        <v>36</v>
      </c>
      <c r="C38">
        <v>4</v>
      </c>
      <c r="E38" s="13" t="s">
        <v>58</v>
      </c>
      <c r="F38" s="13" t="s">
        <v>52</v>
      </c>
      <c r="G38" t="s">
        <v>66</v>
      </c>
      <c r="H38" t="s">
        <v>67</v>
      </c>
      <c r="J38" s="14">
        <f t="shared" si="3"/>
        <v>101.89999999999999</v>
      </c>
      <c r="K38">
        <v>1300</v>
      </c>
      <c r="N38" t="s">
        <v>54</v>
      </c>
      <c r="Q38" t="s">
        <v>152</v>
      </c>
      <c r="U38">
        <v>2</v>
      </c>
      <c r="W38" t="s">
        <v>153</v>
      </c>
      <c r="X38" t="s">
        <v>40</v>
      </c>
      <c r="Y38" t="s">
        <v>40</v>
      </c>
      <c r="Z38" t="s">
        <v>154</v>
      </c>
      <c r="AA38">
        <f t="shared" si="1"/>
        <v>10.19</v>
      </c>
      <c r="AB38" s="17">
        <v>32</v>
      </c>
      <c r="AC38">
        <f t="shared" si="4"/>
        <v>8.0424771931898703E-2</v>
      </c>
      <c r="AI38" t="e">
        <f>IF(#REF!="Yes",NA(),#REF!)</f>
        <v>#REF!</v>
      </c>
      <c r="AJ38" t="e">
        <f>IF(#REF!="Yes",NA(),#REF!)</f>
        <v>#REF!</v>
      </c>
      <c r="AK38" t="e">
        <f>IF(#REF!="Yes",NA(),#REF!)</f>
        <v>#REF!</v>
      </c>
    </row>
    <row r="39" spans="1:37" x14ac:dyDescent="0.35">
      <c r="A39" s="12">
        <v>37</v>
      </c>
      <c r="C39">
        <v>5</v>
      </c>
      <c r="E39" s="13" t="s">
        <v>111</v>
      </c>
      <c r="F39" s="13" t="s">
        <v>52</v>
      </c>
      <c r="G39" t="s">
        <v>34</v>
      </c>
      <c r="H39" t="s">
        <v>155</v>
      </c>
      <c r="J39" s="14">
        <f t="shared" si="3"/>
        <v>245.10000000000002</v>
      </c>
      <c r="K39">
        <v>1300</v>
      </c>
      <c r="N39" t="s">
        <v>54</v>
      </c>
      <c r="Q39" t="s">
        <v>152</v>
      </c>
      <c r="U39">
        <v>3</v>
      </c>
      <c r="W39" t="s">
        <v>156</v>
      </c>
      <c r="X39" t="s">
        <v>40</v>
      </c>
      <c r="Y39" t="s">
        <v>40</v>
      </c>
      <c r="Z39" t="s">
        <v>157</v>
      </c>
      <c r="AA39">
        <f t="shared" si="1"/>
        <v>24.51</v>
      </c>
      <c r="AB39" s="15">
        <v>77</v>
      </c>
      <c r="AC39">
        <f t="shared" si="4"/>
        <v>0.46566257107834708</v>
      </c>
      <c r="AI39" t="e">
        <f>IF(Y39="Yes",NA(),#REF!)</f>
        <v>#N/A</v>
      </c>
      <c r="AJ39" t="e">
        <f>IF(Y39="Yes",NA(),#REF!)</f>
        <v>#N/A</v>
      </c>
      <c r="AK39" t="e">
        <f>IF(Y39="Yes",NA(),#REF!)</f>
        <v>#N/A</v>
      </c>
    </row>
    <row r="40" spans="1:37" x14ac:dyDescent="0.35">
      <c r="A40" s="12">
        <v>38</v>
      </c>
      <c r="C40">
        <v>5</v>
      </c>
      <c r="E40" s="13">
        <v>1</v>
      </c>
      <c r="F40" s="13">
        <v>9</v>
      </c>
      <c r="G40" t="s">
        <v>104</v>
      </c>
      <c r="H40" t="s">
        <v>158</v>
      </c>
      <c r="J40" s="14">
        <f t="shared" si="3"/>
        <v>261</v>
      </c>
      <c r="K40">
        <v>1300</v>
      </c>
      <c r="N40" t="s">
        <v>61</v>
      </c>
      <c r="Q40">
        <v>4</v>
      </c>
      <c r="W40" t="s">
        <v>159</v>
      </c>
      <c r="X40" t="s">
        <v>40</v>
      </c>
      <c r="Y40" t="s">
        <v>40</v>
      </c>
      <c r="Z40" t="s">
        <v>160</v>
      </c>
      <c r="AA40">
        <f t="shared" si="1"/>
        <v>26.1</v>
      </c>
      <c r="AB40" s="15">
        <v>82</v>
      </c>
      <c r="AC40">
        <f t="shared" si="4"/>
        <v>0.52810172506844422</v>
      </c>
      <c r="AI40" t="e">
        <f>IF(Y40="Yes",NA(),#REF!)</f>
        <v>#N/A</v>
      </c>
      <c r="AJ40" t="e">
        <f>IF(Y40="Yes",NA(),#REF!)</f>
        <v>#N/A</v>
      </c>
      <c r="AK40" t="e">
        <f>IF(Y40="Yes",NA(),#REF!)</f>
        <v>#N/A</v>
      </c>
    </row>
    <row r="41" spans="1:37" x14ac:dyDescent="0.35">
      <c r="A41" s="12">
        <v>39</v>
      </c>
      <c r="C41">
        <v>5</v>
      </c>
      <c r="E41" s="13">
        <v>4</v>
      </c>
      <c r="F41" s="13">
        <v>1</v>
      </c>
      <c r="G41" t="s">
        <v>70</v>
      </c>
      <c r="H41" t="s">
        <v>161</v>
      </c>
      <c r="J41" s="14">
        <f t="shared" si="3"/>
        <v>187.8</v>
      </c>
      <c r="K41">
        <v>1300</v>
      </c>
      <c r="N41" t="s">
        <v>61</v>
      </c>
      <c r="Q41">
        <v>4</v>
      </c>
      <c r="U41">
        <v>3</v>
      </c>
      <c r="W41" t="s">
        <v>162</v>
      </c>
      <c r="X41" t="s">
        <v>40</v>
      </c>
      <c r="Y41" t="s">
        <v>40</v>
      </c>
      <c r="AA41">
        <f t="shared" si="1"/>
        <v>18.78</v>
      </c>
      <c r="AB41" s="15">
        <v>59</v>
      </c>
      <c r="AC41">
        <f t="shared" si="4"/>
        <v>0.27339710067865175</v>
      </c>
      <c r="AI41" t="e">
        <f>IF(Y41="Yes",NA(),#REF!)</f>
        <v>#N/A</v>
      </c>
      <c r="AJ41" t="e">
        <f>IF(Y41="Yes",NA(),#REF!)</f>
        <v>#N/A</v>
      </c>
      <c r="AK41" t="e">
        <f>IF(Y41="Yes",NA(),#REF!)</f>
        <v>#N/A</v>
      </c>
    </row>
    <row r="42" spans="1:37" x14ac:dyDescent="0.35">
      <c r="A42" s="12">
        <v>40</v>
      </c>
      <c r="C42">
        <v>5</v>
      </c>
      <c r="E42" s="14">
        <v>3</v>
      </c>
      <c r="F42" s="14" t="s">
        <v>33</v>
      </c>
      <c r="G42" t="s">
        <v>112</v>
      </c>
      <c r="H42" t="s">
        <v>163</v>
      </c>
      <c r="J42" s="14">
        <f t="shared" si="3"/>
        <v>474.3</v>
      </c>
      <c r="K42">
        <v>1300</v>
      </c>
      <c r="N42" t="s">
        <v>54</v>
      </c>
      <c r="Q42">
        <v>5</v>
      </c>
      <c r="U42">
        <v>3</v>
      </c>
      <c r="W42" t="s">
        <v>164</v>
      </c>
      <c r="X42" t="s">
        <v>40</v>
      </c>
      <c r="Y42" t="s">
        <v>40</v>
      </c>
      <c r="AA42">
        <f t="shared" si="1"/>
        <v>47.43</v>
      </c>
      <c r="AB42" s="17">
        <v>149</v>
      </c>
      <c r="AC42">
        <f t="shared" si="4"/>
        <v>1.7436624625586747</v>
      </c>
      <c r="AI42" t="e">
        <f>IF(Y42="Yes",NA(),#REF!)</f>
        <v>#N/A</v>
      </c>
      <c r="AJ42" t="e">
        <f>IF(Y42="Yes",NA(),#REF!)</f>
        <v>#N/A</v>
      </c>
      <c r="AK42" t="e">
        <f>IF(Y42="Yes",NA(),#REF!)</f>
        <v>#N/A</v>
      </c>
    </row>
    <row r="43" spans="1:37" x14ac:dyDescent="0.35">
      <c r="A43" s="12">
        <v>41</v>
      </c>
      <c r="C43">
        <v>5</v>
      </c>
      <c r="E43" s="13">
        <v>4</v>
      </c>
      <c r="F43" s="13">
        <v>5</v>
      </c>
      <c r="G43" t="s">
        <v>63</v>
      </c>
      <c r="H43" t="s">
        <v>64</v>
      </c>
      <c r="J43" s="14">
        <f t="shared" si="3"/>
        <v>105</v>
      </c>
      <c r="K43">
        <v>1300</v>
      </c>
      <c r="N43" t="s">
        <v>54</v>
      </c>
      <c r="Q43" t="s">
        <v>38</v>
      </c>
      <c r="W43" t="s">
        <v>165</v>
      </c>
      <c r="AA43">
        <f t="shared" si="1"/>
        <v>10.5</v>
      </c>
      <c r="AB43" s="17">
        <v>33</v>
      </c>
      <c r="AC43">
        <f t="shared" si="4"/>
        <v>8.5529859993982119E-2</v>
      </c>
      <c r="AI43" t="e">
        <f>IF(Y43="Yes",NA(),#REF!)</f>
        <v>#REF!</v>
      </c>
      <c r="AJ43" t="e">
        <f>IF(Y43="Yes",NA(),#REF!)</f>
        <v>#REF!</v>
      </c>
      <c r="AK43" t="e">
        <f>IF(Y43="Yes",NA(),#REF!)</f>
        <v>#REF!</v>
      </c>
    </row>
    <row r="44" spans="1:37" x14ac:dyDescent="0.35">
      <c r="A44" s="12">
        <v>42</v>
      </c>
      <c r="C44">
        <v>5</v>
      </c>
      <c r="E44" s="13">
        <v>6</v>
      </c>
      <c r="F44" s="13">
        <v>2</v>
      </c>
      <c r="G44" t="s">
        <v>166</v>
      </c>
      <c r="H44" t="s">
        <v>167</v>
      </c>
      <c r="J44" s="14">
        <f t="shared" si="3"/>
        <v>121</v>
      </c>
      <c r="K44">
        <v>1300</v>
      </c>
      <c r="N44" t="s">
        <v>61</v>
      </c>
      <c r="Q44" t="s">
        <v>38</v>
      </c>
      <c r="U44">
        <v>3</v>
      </c>
      <c r="W44" t="s">
        <v>168</v>
      </c>
      <c r="X44" t="s">
        <v>40</v>
      </c>
      <c r="Y44" t="s">
        <v>40</v>
      </c>
      <c r="AA44">
        <f t="shared" si="1"/>
        <v>12.1</v>
      </c>
      <c r="AB44" s="15">
        <v>38</v>
      </c>
      <c r="AC44">
        <f t="shared" si="4"/>
        <v>0.11341149479459152</v>
      </c>
      <c r="AI44" t="e">
        <f>IF(Y44="Yes",NA(),#REF!)</f>
        <v>#N/A</v>
      </c>
      <c r="AJ44" t="e">
        <f>IF(Y44="Yes",NA(),#REF!)</f>
        <v>#N/A</v>
      </c>
      <c r="AK44" t="e">
        <f>IF(Y44="Yes",NA(),#REF!)</f>
        <v>#N/A</v>
      </c>
    </row>
    <row r="45" spans="1:37" x14ac:dyDescent="0.35">
      <c r="A45" s="12">
        <v>43</v>
      </c>
      <c r="C45">
        <v>5</v>
      </c>
      <c r="E45" s="13">
        <v>7</v>
      </c>
      <c r="F45" s="13">
        <v>3</v>
      </c>
      <c r="G45" t="s">
        <v>59</v>
      </c>
      <c r="H45" t="s">
        <v>169</v>
      </c>
      <c r="J45" s="14">
        <f t="shared" si="3"/>
        <v>140.1</v>
      </c>
      <c r="K45">
        <v>1300</v>
      </c>
      <c r="N45" t="s">
        <v>61</v>
      </c>
      <c r="Q45">
        <v>5</v>
      </c>
      <c r="U45">
        <v>3</v>
      </c>
      <c r="W45" t="s">
        <v>170</v>
      </c>
      <c r="X45" t="s">
        <v>40</v>
      </c>
      <c r="Y45" t="s">
        <v>40</v>
      </c>
      <c r="AA45">
        <f t="shared" si="1"/>
        <v>14.01</v>
      </c>
      <c r="AB45" s="15">
        <v>44</v>
      </c>
      <c r="AC45">
        <f t="shared" si="4"/>
        <v>0.15205308443374596</v>
      </c>
      <c r="AI45" t="e">
        <f>IF(Y45="Yes",NA(),#REF!)</f>
        <v>#N/A</v>
      </c>
      <c r="AJ45" t="e">
        <f>IF(Y45="Yes",NA(),#REF!)</f>
        <v>#N/A</v>
      </c>
      <c r="AK45" t="e">
        <f>IF(Y45="Yes",NA(),#REF!)</f>
        <v>#N/A</v>
      </c>
    </row>
    <row r="46" spans="1:37" x14ac:dyDescent="0.35">
      <c r="A46" s="12">
        <v>44</v>
      </c>
      <c r="C46">
        <v>5</v>
      </c>
      <c r="E46" s="13" t="s">
        <v>121</v>
      </c>
      <c r="F46" s="13">
        <v>7</v>
      </c>
      <c r="G46" t="s">
        <v>63</v>
      </c>
      <c r="H46" t="s">
        <v>64</v>
      </c>
      <c r="J46" s="14">
        <f t="shared" si="3"/>
        <v>111.4</v>
      </c>
      <c r="K46">
        <v>1300</v>
      </c>
      <c r="N46" t="s">
        <v>61</v>
      </c>
      <c r="Q46">
        <v>5</v>
      </c>
      <c r="W46" t="s">
        <v>171</v>
      </c>
      <c r="AA46">
        <f t="shared" si="1"/>
        <v>11.14</v>
      </c>
      <c r="AB46" s="17">
        <v>35</v>
      </c>
      <c r="AC46">
        <f t="shared" si="4"/>
        <v>9.6211275016187411E-2</v>
      </c>
      <c r="AI46" t="e">
        <f>IF(Y46="Yes",NA(),#REF!)</f>
        <v>#REF!</v>
      </c>
      <c r="AJ46" t="e">
        <f>IF(Y46="Yes",NA(),#REF!)</f>
        <v>#REF!</v>
      </c>
      <c r="AK46" t="e">
        <f>IF(Y46="Yes",NA(),#REF!)</f>
        <v>#REF!</v>
      </c>
    </row>
    <row r="47" spans="1:37" x14ac:dyDescent="0.35">
      <c r="A47" s="12">
        <v>45</v>
      </c>
      <c r="C47">
        <v>5</v>
      </c>
      <c r="E47" s="13" t="s">
        <v>172</v>
      </c>
      <c r="F47" s="13" t="s">
        <v>52</v>
      </c>
      <c r="G47" t="s">
        <v>63</v>
      </c>
      <c r="H47" t="s">
        <v>64</v>
      </c>
      <c r="J47" s="14">
        <f t="shared" si="3"/>
        <v>143.19999999999999</v>
      </c>
      <c r="K47">
        <v>1300</v>
      </c>
      <c r="N47" t="s">
        <v>61</v>
      </c>
      <c r="Q47">
        <v>5</v>
      </c>
      <c r="W47" t="s">
        <v>173</v>
      </c>
      <c r="AA47">
        <f t="shared" si="1"/>
        <v>14.32</v>
      </c>
      <c r="AB47" s="17">
        <v>45</v>
      </c>
      <c r="AC47">
        <f t="shared" si="4"/>
        <v>0.15904312808798329</v>
      </c>
      <c r="AI47" t="e">
        <f>IF(Y47="Yes",NA(),#REF!)</f>
        <v>#REF!</v>
      </c>
      <c r="AJ47" t="e">
        <f>IF(Y47="Yes",NA(),#REF!)</f>
        <v>#REF!</v>
      </c>
      <c r="AK47" t="e">
        <f>IF(Y47="Yes",NA(),#REF!)</f>
        <v>#REF!</v>
      </c>
    </row>
    <row r="48" spans="1:37" x14ac:dyDescent="0.35">
      <c r="A48" s="12">
        <v>46</v>
      </c>
      <c r="C48">
        <v>6</v>
      </c>
      <c r="E48" s="13" t="s">
        <v>174</v>
      </c>
      <c r="F48" s="13">
        <v>7</v>
      </c>
      <c r="G48" t="s">
        <v>63</v>
      </c>
      <c r="H48" t="s">
        <v>64</v>
      </c>
      <c r="J48" s="14">
        <f t="shared" si="3"/>
        <v>136.9</v>
      </c>
      <c r="K48">
        <v>1300</v>
      </c>
      <c r="N48" t="s">
        <v>61</v>
      </c>
      <c r="Q48">
        <v>5</v>
      </c>
      <c r="W48" t="s">
        <v>175</v>
      </c>
      <c r="AA48">
        <f t="shared" si="1"/>
        <v>13.69</v>
      </c>
      <c r="AB48" s="17">
        <v>43</v>
      </c>
      <c r="AC48">
        <f t="shared" si="4"/>
        <v>0.14522012041218818</v>
      </c>
      <c r="AI48" t="e">
        <f>IF(Y48="Yes",NA(),#REF!)</f>
        <v>#REF!</v>
      </c>
      <c r="AJ48" t="e">
        <f>IF(Y48="Yes",NA(),#REF!)</f>
        <v>#REF!</v>
      </c>
      <c r="AK48" t="e">
        <f>IF(Y48="Yes",NA(),#REF!)</f>
        <v>#REF!</v>
      </c>
    </row>
    <row r="49" spans="1:37" x14ac:dyDescent="0.35">
      <c r="A49" s="12">
        <v>47</v>
      </c>
      <c r="C49">
        <v>6</v>
      </c>
      <c r="E49" s="13">
        <v>0</v>
      </c>
      <c r="F49" s="13">
        <v>2</v>
      </c>
      <c r="G49" t="s">
        <v>63</v>
      </c>
      <c r="H49" t="s">
        <v>64</v>
      </c>
      <c r="J49" s="14">
        <f t="shared" si="3"/>
        <v>124.1</v>
      </c>
      <c r="K49">
        <v>1300</v>
      </c>
      <c r="N49" t="s">
        <v>61</v>
      </c>
      <c r="Q49">
        <v>5</v>
      </c>
      <c r="W49" t="s">
        <v>176</v>
      </c>
      <c r="AA49">
        <f t="shared" si="1"/>
        <v>12.41</v>
      </c>
      <c r="AB49" s="17">
        <v>39</v>
      </c>
      <c r="AC49">
        <f t="shared" si="4"/>
        <v>0.11945906065275187</v>
      </c>
      <c r="AI49" t="e">
        <f>IF(Y49="Yes",NA(),#REF!)</f>
        <v>#REF!</v>
      </c>
      <c r="AJ49" t="e">
        <f>IF(Y49="Yes",NA(),#REF!)</f>
        <v>#REF!</v>
      </c>
      <c r="AK49" t="e">
        <f>IF(Y49="Yes",NA(),#REF!)</f>
        <v>#REF!</v>
      </c>
    </row>
    <row r="50" spans="1:37" x14ac:dyDescent="0.35">
      <c r="A50" s="12">
        <v>48</v>
      </c>
      <c r="C50">
        <v>6</v>
      </c>
      <c r="E50" s="13">
        <v>5</v>
      </c>
      <c r="F50" s="13">
        <v>1</v>
      </c>
      <c r="G50" t="s">
        <v>104</v>
      </c>
      <c r="H50" t="s">
        <v>105</v>
      </c>
      <c r="J50" s="14">
        <f t="shared" si="3"/>
        <v>431.3</v>
      </c>
      <c r="K50">
        <v>1300</v>
      </c>
      <c r="N50" t="s">
        <v>54</v>
      </c>
      <c r="Q50">
        <v>5</v>
      </c>
      <c r="U50">
        <v>3</v>
      </c>
      <c r="W50" t="s">
        <v>177</v>
      </c>
      <c r="X50" t="s">
        <v>40</v>
      </c>
      <c r="Y50" t="s">
        <v>40</v>
      </c>
      <c r="AA50">
        <f t="shared" si="1"/>
        <v>43.13</v>
      </c>
      <c r="AB50" s="18">
        <v>135.5</v>
      </c>
      <c r="AC50">
        <f t="shared" si="4"/>
        <v>1.4420106629517999</v>
      </c>
      <c r="AI50" t="e">
        <f>IF(Y50="Yes",NA(),#REF!)</f>
        <v>#N/A</v>
      </c>
      <c r="AJ50" t="e">
        <f>IF(Y50="Yes",NA(),#REF!)</f>
        <v>#N/A</v>
      </c>
      <c r="AK50" t="e">
        <f>IF(Y50="Yes",NA(),#REF!)</f>
        <v>#N/A</v>
      </c>
    </row>
    <row r="51" spans="1:37" x14ac:dyDescent="0.35">
      <c r="A51" s="12">
        <v>49</v>
      </c>
      <c r="C51">
        <v>6</v>
      </c>
      <c r="E51" s="13">
        <v>7</v>
      </c>
      <c r="F51" s="13">
        <v>3</v>
      </c>
      <c r="G51" t="s">
        <v>178</v>
      </c>
      <c r="H51" t="s">
        <v>179</v>
      </c>
      <c r="J51" s="14">
        <f t="shared" si="3"/>
        <v>388.29999999999995</v>
      </c>
      <c r="K51">
        <v>1300</v>
      </c>
      <c r="N51" t="s">
        <v>54</v>
      </c>
      <c r="Q51">
        <v>5</v>
      </c>
      <c r="U51">
        <v>4</v>
      </c>
      <c r="W51" t="s">
        <v>180</v>
      </c>
      <c r="X51" t="s">
        <v>40</v>
      </c>
      <c r="Y51" t="s">
        <v>40</v>
      </c>
      <c r="AA51">
        <f t="shared" si="1"/>
        <v>38.83</v>
      </c>
      <c r="AB51" s="15">
        <v>122</v>
      </c>
      <c r="AC51">
        <f t="shared" si="4"/>
        <v>1.168986626400762</v>
      </c>
      <c r="AI51" t="e">
        <f>IF(Y51="Yes",NA(),#REF!)</f>
        <v>#N/A</v>
      </c>
      <c r="AJ51" t="e">
        <f>IF(Y51="Yes",NA(),#REF!)</f>
        <v>#N/A</v>
      </c>
      <c r="AK51" t="e">
        <f>IF(Y51="Yes",NA(),#REF!)</f>
        <v>#N/A</v>
      </c>
    </row>
    <row r="52" spans="1:37" x14ac:dyDescent="0.35">
      <c r="A52" s="12">
        <v>50</v>
      </c>
      <c r="C52">
        <v>6</v>
      </c>
      <c r="E52" s="13">
        <v>9</v>
      </c>
      <c r="F52" s="13" t="s">
        <v>121</v>
      </c>
      <c r="G52" t="s">
        <v>76</v>
      </c>
      <c r="H52" t="s">
        <v>181</v>
      </c>
      <c r="J52" s="14">
        <f t="shared" si="3"/>
        <v>99.9</v>
      </c>
      <c r="K52">
        <v>1300</v>
      </c>
      <c r="N52" t="s">
        <v>54</v>
      </c>
      <c r="Q52" t="s">
        <v>134</v>
      </c>
      <c r="W52" t="s">
        <v>182</v>
      </c>
      <c r="X52" t="s">
        <v>40</v>
      </c>
      <c r="Y52" t="s">
        <v>40</v>
      </c>
      <c r="Z52" t="s">
        <v>183</v>
      </c>
      <c r="AA52">
        <f t="shared" si="1"/>
        <v>9.99</v>
      </c>
      <c r="AB52" s="18">
        <v>31.4</v>
      </c>
      <c r="AC52">
        <f t="shared" si="4"/>
        <v>7.7437117318334803E-2</v>
      </c>
      <c r="AI52" t="e">
        <f>IF(Y52="Yes",NA(),#REF!)</f>
        <v>#N/A</v>
      </c>
      <c r="AJ52" t="e">
        <f>IF(Y52="Yes",NA(),#REF!)</f>
        <v>#N/A</v>
      </c>
      <c r="AK52" t="e">
        <f>IF(Y52="Yes",NA(),#REF!)</f>
        <v>#N/A</v>
      </c>
    </row>
    <row r="53" spans="1:37" x14ac:dyDescent="0.35">
      <c r="A53" s="12">
        <v>51</v>
      </c>
      <c r="C53">
        <v>6</v>
      </c>
      <c r="E53" s="13">
        <v>8</v>
      </c>
      <c r="F53" s="13">
        <v>8</v>
      </c>
      <c r="G53" t="s">
        <v>63</v>
      </c>
      <c r="H53" t="s">
        <v>64</v>
      </c>
      <c r="J53" s="14">
        <f t="shared" si="3"/>
        <v>117.8</v>
      </c>
      <c r="K53">
        <v>1300</v>
      </c>
      <c r="N53" t="s">
        <v>54</v>
      </c>
      <c r="Q53" t="s">
        <v>38</v>
      </c>
      <c r="W53" t="s">
        <v>184</v>
      </c>
      <c r="AA53">
        <f t="shared" si="1"/>
        <v>11.78</v>
      </c>
      <c r="AB53" s="17">
        <v>37</v>
      </c>
      <c r="AC53">
        <f t="shared" si="4"/>
        <v>0.10752100856911068</v>
      </c>
      <c r="AI53" t="e">
        <f>IF(Y53="Yes",NA(),#REF!)</f>
        <v>#REF!</v>
      </c>
      <c r="AJ53" t="e">
        <f>IF(Y53="Yes",NA(),#REF!)</f>
        <v>#REF!</v>
      </c>
      <c r="AK53" t="e">
        <f>IF(Y53="Yes",NA(),#REF!)</f>
        <v>#REF!</v>
      </c>
    </row>
    <row r="54" spans="1:37" x14ac:dyDescent="0.35">
      <c r="A54" s="12">
        <v>52</v>
      </c>
      <c r="C54">
        <v>6</v>
      </c>
      <c r="E54" s="13" t="s">
        <v>121</v>
      </c>
      <c r="F54" s="13">
        <v>7</v>
      </c>
      <c r="G54" t="s">
        <v>63</v>
      </c>
      <c r="H54" t="s">
        <v>64</v>
      </c>
      <c r="J54" s="14">
        <f t="shared" si="3"/>
        <v>119.7</v>
      </c>
      <c r="K54">
        <v>1300</v>
      </c>
      <c r="N54" t="s">
        <v>54</v>
      </c>
      <c r="Q54">
        <v>4</v>
      </c>
      <c r="U54">
        <v>3</v>
      </c>
      <c r="W54" t="s">
        <v>185</v>
      </c>
      <c r="AA54">
        <f t="shared" si="1"/>
        <v>11.97</v>
      </c>
      <c r="AB54" s="16">
        <v>37.6</v>
      </c>
      <c r="AC54">
        <f t="shared" si="4"/>
        <v>0.11103645074847766</v>
      </c>
      <c r="AI54" t="e">
        <f>IF(Y54="Yes",NA(),#REF!)</f>
        <v>#REF!</v>
      </c>
      <c r="AJ54" t="e">
        <f>IF(Y54="Yes",NA(),#REF!)</f>
        <v>#REF!</v>
      </c>
      <c r="AK54" t="e">
        <f>IF(Y54="Yes",NA(),#REF!)</f>
        <v>#REF!</v>
      </c>
    </row>
    <row r="55" spans="1:37" x14ac:dyDescent="0.35">
      <c r="A55" s="12">
        <v>53</v>
      </c>
      <c r="C55">
        <v>7</v>
      </c>
      <c r="E55" s="13" t="s">
        <v>33</v>
      </c>
      <c r="F55" s="13">
        <v>2</v>
      </c>
      <c r="G55" t="s">
        <v>63</v>
      </c>
      <c r="H55" t="s">
        <v>64</v>
      </c>
      <c r="J55" s="14">
        <f t="shared" si="3"/>
        <v>135.29999999999998</v>
      </c>
      <c r="K55">
        <v>1300</v>
      </c>
      <c r="N55" t="s">
        <v>61</v>
      </c>
      <c r="Q55">
        <v>4</v>
      </c>
      <c r="U55">
        <v>3</v>
      </c>
      <c r="W55" t="s">
        <v>186</v>
      </c>
      <c r="AA55">
        <f t="shared" si="1"/>
        <v>13.53</v>
      </c>
      <c r="AB55" s="16">
        <v>42.5</v>
      </c>
      <c r="AC55">
        <f t="shared" si="4"/>
        <v>0.1418625432636641</v>
      </c>
      <c r="AI55" t="e">
        <f>IF(Y55="Yes",NA(),#REF!)</f>
        <v>#REF!</v>
      </c>
      <c r="AJ55" t="e">
        <f>IF(Y55="Yes",NA(),#REF!)</f>
        <v>#REF!</v>
      </c>
      <c r="AK55" t="e">
        <f>IF(Y55="Yes",NA(),#REF!)</f>
        <v>#REF!</v>
      </c>
    </row>
    <row r="56" spans="1:37" x14ac:dyDescent="0.35">
      <c r="A56" s="12">
        <v>54</v>
      </c>
      <c r="C56">
        <v>7</v>
      </c>
      <c r="E56" s="13" t="s">
        <v>174</v>
      </c>
      <c r="F56" s="13">
        <v>4</v>
      </c>
      <c r="G56" t="s">
        <v>47</v>
      </c>
      <c r="H56" t="s">
        <v>187</v>
      </c>
      <c r="J56" s="14">
        <f t="shared" si="3"/>
        <v>136.9</v>
      </c>
      <c r="K56">
        <v>1300</v>
      </c>
      <c r="N56" t="s">
        <v>61</v>
      </c>
      <c r="Q56" t="s">
        <v>38</v>
      </c>
      <c r="U56">
        <v>3</v>
      </c>
      <c r="W56" t="s">
        <v>188</v>
      </c>
      <c r="X56" t="s">
        <v>40</v>
      </c>
      <c r="Y56" t="s">
        <v>40</v>
      </c>
      <c r="AA56">
        <f t="shared" si="1"/>
        <v>13.69</v>
      </c>
      <c r="AB56" s="15">
        <v>43</v>
      </c>
      <c r="AC56">
        <f t="shared" si="4"/>
        <v>0.14522012041218818</v>
      </c>
      <c r="AI56" t="e">
        <f>IF(Y56="Yes",NA(),#REF!)</f>
        <v>#N/A</v>
      </c>
      <c r="AJ56" t="e">
        <f>IF(Y56="Yes",NA(),#REF!)</f>
        <v>#N/A</v>
      </c>
      <c r="AK56" t="e">
        <f>IF(Y56="Yes",NA(),#REF!)</f>
        <v>#N/A</v>
      </c>
    </row>
    <row r="57" spans="1:37" x14ac:dyDescent="0.35">
      <c r="A57" s="12">
        <v>55</v>
      </c>
      <c r="C57">
        <v>7</v>
      </c>
      <c r="E57" s="14">
        <v>5</v>
      </c>
      <c r="F57" s="14" t="s">
        <v>111</v>
      </c>
      <c r="G57" t="s">
        <v>47</v>
      </c>
      <c r="H57" t="s">
        <v>189</v>
      </c>
      <c r="J57" s="14">
        <f t="shared" si="3"/>
        <v>111.4</v>
      </c>
      <c r="K57">
        <v>1300</v>
      </c>
      <c r="N57" t="s">
        <v>54</v>
      </c>
      <c r="Q57" t="s">
        <v>38</v>
      </c>
      <c r="W57" t="s">
        <v>190</v>
      </c>
      <c r="X57" t="s">
        <v>40</v>
      </c>
      <c r="Y57" t="s">
        <v>40</v>
      </c>
      <c r="AA57">
        <f t="shared" si="1"/>
        <v>11.14</v>
      </c>
      <c r="AB57" s="17">
        <v>35</v>
      </c>
      <c r="AC57">
        <f t="shared" si="4"/>
        <v>9.6211275016187411E-2</v>
      </c>
      <c r="AI57" t="e">
        <f>IF(Y57="Yes",NA(),#REF!)</f>
        <v>#N/A</v>
      </c>
      <c r="AJ57" t="e">
        <f>IF(Y57="Yes",NA(),#REF!)</f>
        <v>#N/A</v>
      </c>
      <c r="AK57" t="e">
        <f>IF(Y57="Yes",NA(),#REF!)</f>
        <v>#N/A</v>
      </c>
    </row>
    <row r="58" spans="1:37" x14ac:dyDescent="0.35">
      <c r="A58" s="12">
        <v>56</v>
      </c>
      <c r="C58">
        <v>7</v>
      </c>
      <c r="E58" s="13">
        <v>7</v>
      </c>
      <c r="F58" s="13">
        <v>3</v>
      </c>
      <c r="G58" t="s">
        <v>104</v>
      </c>
      <c r="H58" t="s">
        <v>158</v>
      </c>
      <c r="J58" s="14">
        <f t="shared" si="3"/>
        <v>124.1</v>
      </c>
      <c r="K58">
        <v>1300</v>
      </c>
      <c r="N58" t="s">
        <v>54</v>
      </c>
      <c r="Q58" t="s">
        <v>38</v>
      </c>
      <c r="U58">
        <v>3</v>
      </c>
      <c r="W58" t="s">
        <v>191</v>
      </c>
      <c r="X58" t="s">
        <v>40</v>
      </c>
      <c r="Y58" t="s">
        <v>40</v>
      </c>
      <c r="AA58">
        <f t="shared" si="1"/>
        <v>12.41</v>
      </c>
      <c r="AB58" s="15">
        <v>39</v>
      </c>
      <c r="AC58">
        <f t="shared" si="4"/>
        <v>0.11945906065275187</v>
      </c>
      <c r="AI58" t="e">
        <f>IF(Y58="Yes",NA(),#REF!)</f>
        <v>#N/A</v>
      </c>
      <c r="AJ58" t="e">
        <f>IF(Y58="Yes",NA(),#REF!)</f>
        <v>#N/A</v>
      </c>
      <c r="AK58" t="e">
        <f>IF(Y58="Yes",NA(),#REF!)</f>
        <v>#N/A</v>
      </c>
    </row>
    <row r="59" spans="1:37" x14ac:dyDescent="0.35">
      <c r="A59" s="12">
        <v>57</v>
      </c>
      <c r="C59">
        <v>7</v>
      </c>
      <c r="E59" s="13">
        <v>7</v>
      </c>
      <c r="F59" s="13">
        <v>7</v>
      </c>
      <c r="G59" t="s">
        <v>34</v>
      </c>
      <c r="H59" t="s">
        <v>192</v>
      </c>
      <c r="J59" s="14">
        <f t="shared" si="3"/>
        <v>261</v>
      </c>
      <c r="K59">
        <v>1300</v>
      </c>
      <c r="N59" t="s">
        <v>54</v>
      </c>
      <c r="Q59">
        <v>5</v>
      </c>
      <c r="W59" t="s">
        <v>193</v>
      </c>
      <c r="Y59" t="s">
        <v>40</v>
      </c>
      <c r="Z59" t="s">
        <v>194</v>
      </c>
      <c r="AA59">
        <f t="shared" si="1"/>
        <v>26.1</v>
      </c>
      <c r="AB59" s="15">
        <v>82</v>
      </c>
      <c r="AC59">
        <f t="shared" si="4"/>
        <v>0.52810172506844422</v>
      </c>
      <c r="AI59" t="e">
        <f>IF(Y59="Yes",NA(),#REF!)</f>
        <v>#N/A</v>
      </c>
      <c r="AJ59" t="e">
        <f>IF(Y59="Yes",NA(),#REF!)</f>
        <v>#N/A</v>
      </c>
      <c r="AK59" t="e">
        <f>IF(Y59="Yes",NA(),#REF!)</f>
        <v>#N/A</v>
      </c>
    </row>
    <row r="60" spans="1:37" x14ac:dyDescent="0.35">
      <c r="A60" s="12">
        <v>58</v>
      </c>
      <c r="C60">
        <v>7</v>
      </c>
      <c r="E60" s="13" t="s">
        <v>52</v>
      </c>
      <c r="F60" s="13">
        <v>8</v>
      </c>
      <c r="G60" t="s">
        <v>63</v>
      </c>
      <c r="H60" t="s">
        <v>64</v>
      </c>
      <c r="J60" s="14">
        <f t="shared" si="3"/>
        <v>108.2</v>
      </c>
      <c r="K60">
        <v>1300</v>
      </c>
      <c r="N60" t="s">
        <v>54</v>
      </c>
      <c r="Q60">
        <v>4</v>
      </c>
      <c r="W60" t="s">
        <v>195</v>
      </c>
      <c r="AA60">
        <f t="shared" si="1"/>
        <v>10.82</v>
      </c>
      <c r="AB60" s="17">
        <v>34</v>
      </c>
      <c r="AC60">
        <f t="shared" si="4"/>
        <v>9.0792027688745031E-2</v>
      </c>
      <c r="AI60" t="e">
        <f>IF(Y60="Yes",NA(),#REF!)</f>
        <v>#REF!</v>
      </c>
      <c r="AJ60" t="e">
        <f>IF(Y60="Yes",NA(),#REF!)</f>
        <v>#REF!</v>
      </c>
      <c r="AK60" t="e">
        <f>IF(Y60="Yes",NA(),#REF!)</f>
        <v>#REF!</v>
      </c>
    </row>
    <row r="61" spans="1:37" x14ac:dyDescent="0.35">
      <c r="A61" s="12">
        <v>59</v>
      </c>
      <c r="C61">
        <v>7</v>
      </c>
      <c r="E61" s="13" t="s">
        <v>111</v>
      </c>
      <c r="F61" s="13" t="s">
        <v>52</v>
      </c>
      <c r="G61" t="s">
        <v>137</v>
      </c>
      <c r="H61" t="s">
        <v>138</v>
      </c>
      <c r="J61" s="14">
        <f t="shared" si="3"/>
        <v>103.5</v>
      </c>
      <c r="K61">
        <v>1300</v>
      </c>
      <c r="N61" t="s">
        <v>61</v>
      </c>
      <c r="Q61" t="s">
        <v>38</v>
      </c>
      <c r="U61">
        <v>3</v>
      </c>
      <c r="W61" t="s">
        <v>196</v>
      </c>
      <c r="X61" t="s">
        <v>40</v>
      </c>
      <c r="Y61" t="s">
        <v>40</v>
      </c>
      <c r="AA61">
        <f t="shared" si="1"/>
        <v>10.35</v>
      </c>
      <c r="AB61" s="18">
        <v>32.5</v>
      </c>
      <c r="AC61">
        <f t="shared" si="4"/>
        <v>8.2957681008855463E-2</v>
      </c>
      <c r="AI61" t="e">
        <f>IF(Y61="Yes",NA(),#REF!)</f>
        <v>#N/A</v>
      </c>
      <c r="AJ61" t="e">
        <f>IF(Y61="Yes",NA(),#REF!)</f>
        <v>#N/A</v>
      </c>
      <c r="AK61" t="e">
        <f>IF(Y61="Yes",NA(),#REF!)</f>
        <v>#N/A</v>
      </c>
    </row>
    <row r="62" spans="1:37" x14ac:dyDescent="0.35">
      <c r="A62" s="12">
        <v>60</v>
      </c>
      <c r="C62">
        <v>7</v>
      </c>
      <c r="E62" s="13" t="s">
        <v>33</v>
      </c>
      <c r="F62" s="13">
        <v>9</v>
      </c>
      <c r="G62" t="s">
        <v>66</v>
      </c>
      <c r="H62" t="s">
        <v>67</v>
      </c>
      <c r="J62" s="14">
        <f t="shared" si="3"/>
        <v>388.29999999999995</v>
      </c>
      <c r="K62">
        <v>1300</v>
      </c>
      <c r="N62" t="s">
        <v>54</v>
      </c>
      <c r="Q62">
        <v>4</v>
      </c>
      <c r="U62">
        <v>2</v>
      </c>
      <c r="W62" t="s">
        <v>197</v>
      </c>
      <c r="X62" t="s">
        <v>40</v>
      </c>
      <c r="Y62" t="s">
        <v>40</v>
      </c>
      <c r="AA62">
        <f t="shared" si="1"/>
        <v>38.83</v>
      </c>
      <c r="AB62" s="17">
        <v>122</v>
      </c>
      <c r="AC62">
        <f t="shared" si="4"/>
        <v>1.168986626400762</v>
      </c>
      <c r="AI62" t="e">
        <f>IF(Y62="Yes",NA(),#REF!)</f>
        <v>#N/A</v>
      </c>
      <c r="AJ62" t="e">
        <f>IF(Y62="Yes",NA(),#REF!)</f>
        <v>#N/A</v>
      </c>
      <c r="AK62" t="e">
        <f>IF(Y62="Yes",NA(),#REF!)</f>
        <v>#N/A</v>
      </c>
    </row>
    <row r="63" spans="1:37" x14ac:dyDescent="0.35">
      <c r="A63" s="12">
        <v>61</v>
      </c>
      <c r="C63">
        <v>7</v>
      </c>
      <c r="E63" s="13" t="s">
        <v>33</v>
      </c>
      <c r="F63" s="13" t="s">
        <v>58</v>
      </c>
      <c r="G63" t="s">
        <v>63</v>
      </c>
      <c r="H63" t="s">
        <v>64</v>
      </c>
      <c r="J63" s="14">
        <f t="shared" si="3"/>
        <v>121</v>
      </c>
      <c r="K63">
        <v>1300</v>
      </c>
      <c r="N63" t="s">
        <v>54</v>
      </c>
      <c r="Q63" t="s">
        <v>55</v>
      </c>
      <c r="W63" t="s">
        <v>198</v>
      </c>
      <c r="AA63">
        <f t="shared" si="1"/>
        <v>12.1</v>
      </c>
      <c r="AB63" s="17">
        <v>38</v>
      </c>
      <c r="AC63">
        <f t="shared" si="4"/>
        <v>0.11341149479459152</v>
      </c>
      <c r="AI63" t="e">
        <f>IF(Y63="Yes",NA(),#REF!)</f>
        <v>#REF!</v>
      </c>
      <c r="AJ63" t="e">
        <f>IF(Y63="Yes",NA(),#REF!)</f>
        <v>#REF!</v>
      </c>
      <c r="AK63" t="e">
        <f>IF(Y63="Yes",NA(),#REF!)</f>
        <v>#REF!</v>
      </c>
    </row>
    <row r="64" spans="1:37" x14ac:dyDescent="0.35">
      <c r="A64" s="12">
        <v>62</v>
      </c>
      <c r="C64">
        <v>8</v>
      </c>
      <c r="E64" s="13">
        <v>0</v>
      </c>
      <c r="F64" s="13" t="s">
        <v>174</v>
      </c>
      <c r="G64" t="s">
        <v>34</v>
      </c>
      <c r="H64" t="s">
        <v>95</v>
      </c>
      <c r="J64" s="14">
        <f t="shared" si="3"/>
        <v>206.9</v>
      </c>
      <c r="K64">
        <v>1300</v>
      </c>
      <c r="N64" t="s">
        <v>54</v>
      </c>
      <c r="Q64">
        <v>5</v>
      </c>
      <c r="U64">
        <v>3</v>
      </c>
      <c r="W64" t="s">
        <v>199</v>
      </c>
      <c r="X64" t="s">
        <v>40</v>
      </c>
      <c r="Y64" t="s">
        <v>40</v>
      </c>
      <c r="Z64" t="s">
        <v>200</v>
      </c>
      <c r="AA64">
        <f t="shared" si="1"/>
        <v>20.69</v>
      </c>
      <c r="AB64" s="17">
        <v>65</v>
      </c>
      <c r="AC64">
        <f t="shared" si="4"/>
        <v>0.33183072403542185</v>
      </c>
      <c r="AI64" t="e">
        <f>IF(Y64="Yes",NA(),#REF!)</f>
        <v>#N/A</v>
      </c>
      <c r="AJ64" t="e">
        <f>IF(Y64="Yes",NA(),#REF!)</f>
        <v>#N/A</v>
      </c>
      <c r="AK64" t="e">
        <f>IF(Y64="Yes",NA(),#REF!)</f>
        <v>#N/A</v>
      </c>
    </row>
    <row r="65" spans="1:37" x14ac:dyDescent="0.35">
      <c r="A65" s="12">
        <v>63</v>
      </c>
      <c r="C65">
        <v>8</v>
      </c>
      <c r="E65" s="13" t="s">
        <v>201</v>
      </c>
      <c r="F65" s="19" t="s">
        <v>92</v>
      </c>
      <c r="G65" t="s">
        <v>202</v>
      </c>
      <c r="H65" t="s">
        <v>203</v>
      </c>
      <c r="J65" s="14">
        <f t="shared" si="3"/>
        <v>142</v>
      </c>
      <c r="K65">
        <v>1300</v>
      </c>
      <c r="N65" t="s">
        <v>54</v>
      </c>
      <c r="Q65">
        <v>1</v>
      </c>
      <c r="U65">
        <v>3</v>
      </c>
      <c r="W65" t="s">
        <v>204</v>
      </c>
      <c r="X65" t="s">
        <v>40</v>
      </c>
      <c r="Y65" t="s">
        <v>40</v>
      </c>
      <c r="AA65">
        <f t="shared" si="1"/>
        <v>14.2</v>
      </c>
      <c r="AB65" s="18">
        <v>44.6</v>
      </c>
      <c r="AC65">
        <f t="shared" si="4"/>
        <v>0.15622826107036683</v>
      </c>
      <c r="AI65" t="e">
        <f>IF(Y65="Yes",NA(),#REF!)</f>
        <v>#N/A</v>
      </c>
      <c r="AJ65" t="e">
        <f>IF(Y65="Yes",NA(),#REF!)</f>
        <v>#N/A</v>
      </c>
      <c r="AK65" t="e">
        <f>IF(Y65="Yes",NA(),#REF!)</f>
        <v>#N/A</v>
      </c>
    </row>
    <row r="66" spans="1:37" x14ac:dyDescent="0.35">
      <c r="A66" s="12">
        <v>64</v>
      </c>
      <c r="C66">
        <v>8</v>
      </c>
      <c r="E66" s="13">
        <v>3</v>
      </c>
      <c r="F66" s="13">
        <v>3</v>
      </c>
      <c r="G66" t="s">
        <v>205</v>
      </c>
      <c r="H66" t="s">
        <v>206</v>
      </c>
      <c r="J66" s="14">
        <f t="shared" si="3"/>
        <v>136.9</v>
      </c>
      <c r="K66">
        <v>1300</v>
      </c>
      <c r="N66" t="s">
        <v>54</v>
      </c>
      <c r="Q66" t="s">
        <v>38</v>
      </c>
      <c r="U66">
        <v>3</v>
      </c>
      <c r="W66" t="s">
        <v>207</v>
      </c>
      <c r="X66" t="s">
        <v>40</v>
      </c>
      <c r="Y66" t="s">
        <v>40</v>
      </c>
      <c r="Z66" t="s">
        <v>208</v>
      </c>
      <c r="AA66">
        <f t="shared" si="1"/>
        <v>13.69</v>
      </c>
      <c r="AB66" s="17">
        <v>43</v>
      </c>
      <c r="AC66">
        <f t="shared" si="4"/>
        <v>0.14522012041218818</v>
      </c>
      <c r="AI66" t="e">
        <f>IF(Y66="Yes",NA(),#REF!)</f>
        <v>#N/A</v>
      </c>
      <c r="AJ66" t="e">
        <f>IF(Y66="Yes",NA(),#REF!)</f>
        <v>#N/A</v>
      </c>
      <c r="AK66" t="e">
        <f>IF(Y66="Yes",NA(),#REF!)</f>
        <v>#N/A</v>
      </c>
    </row>
    <row r="67" spans="1:37" x14ac:dyDescent="0.35">
      <c r="A67" s="12">
        <v>65</v>
      </c>
      <c r="C67">
        <v>8</v>
      </c>
      <c r="E67" s="13">
        <v>9</v>
      </c>
      <c r="F67" s="13" t="s">
        <v>172</v>
      </c>
      <c r="G67" t="s">
        <v>63</v>
      </c>
      <c r="H67" t="s">
        <v>64</v>
      </c>
      <c r="J67" s="14">
        <f t="shared" ref="J67:J98" si="5">ROUND(AB67/PI(), 2)*10</f>
        <v>101.89999999999999</v>
      </c>
      <c r="K67">
        <v>1300</v>
      </c>
      <c r="N67" t="s">
        <v>54</v>
      </c>
      <c r="Q67" t="s">
        <v>55</v>
      </c>
      <c r="W67" t="s">
        <v>209</v>
      </c>
      <c r="AA67">
        <f t="shared" ref="AA67:AA130" si="6">ROUND(AB67/PI(), 2)</f>
        <v>10.19</v>
      </c>
      <c r="AB67" s="17">
        <v>32</v>
      </c>
      <c r="AC67">
        <f t="shared" ref="AC67:AC98" si="7">PI()*(AB67/2)*(AB67/2)/10000</f>
        <v>8.0424771931898703E-2</v>
      </c>
      <c r="AI67" t="e">
        <f>IF(Y67="Yes",NA(),#REF!)</f>
        <v>#REF!</v>
      </c>
      <c r="AJ67" t="e">
        <f>IF(Y67="Yes",NA(),#REF!)</f>
        <v>#REF!</v>
      </c>
      <c r="AK67" t="e">
        <f>IF(Y67="Yes",NA(),#REF!)</f>
        <v>#REF!</v>
      </c>
    </row>
    <row r="68" spans="1:37" x14ac:dyDescent="0.35">
      <c r="A68" s="12">
        <v>66</v>
      </c>
      <c r="C68">
        <v>8</v>
      </c>
      <c r="E68" s="14">
        <v>8</v>
      </c>
      <c r="F68" s="14">
        <v>5</v>
      </c>
      <c r="G68" t="s">
        <v>59</v>
      </c>
      <c r="H68" t="s">
        <v>60</v>
      </c>
      <c r="I68" t="s">
        <v>210</v>
      </c>
      <c r="J68" s="14">
        <f t="shared" si="5"/>
        <v>181.4</v>
      </c>
      <c r="K68">
        <v>1300</v>
      </c>
      <c r="N68" t="s">
        <v>54</v>
      </c>
      <c r="Q68" t="s">
        <v>38</v>
      </c>
      <c r="U68">
        <v>3</v>
      </c>
      <c r="W68" t="s">
        <v>211</v>
      </c>
      <c r="X68" t="s">
        <v>40</v>
      </c>
      <c r="Y68" t="s">
        <v>40</v>
      </c>
      <c r="AA68">
        <f t="shared" si="6"/>
        <v>18.14</v>
      </c>
      <c r="AB68" s="17">
        <v>57</v>
      </c>
      <c r="AC68">
        <f t="shared" si="7"/>
        <v>0.25517586328783093</v>
      </c>
      <c r="AI68" t="e">
        <f>IF(Y68="Yes",NA(),#REF!)</f>
        <v>#N/A</v>
      </c>
      <c r="AJ68" t="e">
        <f>IF(Y68="Yes",NA(),#REF!)</f>
        <v>#N/A</v>
      </c>
      <c r="AK68" t="e">
        <f>IF(Y68="Yes",NA(),#REF!)</f>
        <v>#N/A</v>
      </c>
    </row>
    <row r="69" spans="1:37" x14ac:dyDescent="0.35">
      <c r="A69" s="12">
        <v>67</v>
      </c>
      <c r="C69">
        <v>8</v>
      </c>
      <c r="E69" s="13" t="s">
        <v>84</v>
      </c>
      <c r="F69" s="13">
        <v>8</v>
      </c>
      <c r="G69" t="s">
        <v>70</v>
      </c>
      <c r="H69" t="s">
        <v>35</v>
      </c>
      <c r="J69" s="14">
        <f t="shared" si="5"/>
        <v>238.70000000000002</v>
      </c>
      <c r="K69">
        <v>1300</v>
      </c>
      <c r="N69" t="s">
        <v>61</v>
      </c>
      <c r="Q69">
        <v>5</v>
      </c>
      <c r="U69">
        <v>3</v>
      </c>
      <c r="W69" t="s">
        <v>212</v>
      </c>
      <c r="X69" t="s">
        <v>40</v>
      </c>
      <c r="Y69" t="s">
        <v>40</v>
      </c>
      <c r="AA69">
        <f t="shared" si="6"/>
        <v>23.87</v>
      </c>
      <c r="AB69" s="15">
        <v>75</v>
      </c>
      <c r="AC69">
        <f t="shared" si="7"/>
        <v>0.44178646691106471</v>
      </c>
      <c r="AI69" t="e">
        <f>IF(Y69="Yes",NA(),#REF!)</f>
        <v>#N/A</v>
      </c>
      <c r="AJ69" t="e">
        <f>IF(Y69="Yes",NA(),#REF!)</f>
        <v>#N/A</v>
      </c>
      <c r="AK69" t="e">
        <f>IF(Y69="Yes",NA(),#REF!)</f>
        <v>#N/A</v>
      </c>
    </row>
    <row r="70" spans="1:37" x14ac:dyDescent="0.35">
      <c r="A70" s="12">
        <v>68</v>
      </c>
      <c r="C70">
        <v>8</v>
      </c>
      <c r="E70" s="13" t="s">
        <v>52</v>
      </c>
      <c r="F70" s="13">
        <v>7</v>
      </c>
      <c r="G70" t="s">
        <v>213</v>
      </c>
      <c r="H70" t="s">
        <v>214</v>
      </c>
      <c r="J70" s="14">
        <f t="shared" si="5"/>
        <v>132.10000000000002</v>
      </c>
      <c r="K70">
        <v>1300</v>
      </c>
      <c r="N70" t="s">
        <v>61</v>
      </c>
      <c r="Q70">
        <v>5</v>
      </c>
      <c r="U70">
        <v>3</v>
      </c>
      <c r="W70" t="s">
        <v>215</v>
      </c>
      <c r="X70" t="s">
        <v>40</v>
      </c>
      <c r="Y70" t="s">
        <v>40</v>
      </c>
      <c r="AA70">
        <f t="shared" si="6"/>
        <v>13.21</v>
      </c>
      <c r="AB70" s="18">
        <v>41.5</v>
      </c>
      <c r="AC70">
        <f t="shared" si="7"/>
        <v>0.13526519869112552</v>
      </c>
      <c r="AI70" t="e">
        <f>IF(Y70="Yes",NA(),#REF!)</f>
        <v>#N/A</v>
      </c>
      <c r="AJ70" t="e">
        <f>IF(Y70="Yes",NA(),#REF!)</f>
        <v>#N/A</v>
      </c>
      <c r="AK70" t="e">
        <f>IF(Y70="Yes",NA(),#REF!)</f>
        <v>#N/A</v>
      </c>
    </row>
    <row r="71" spans="1:37" x14ac:dyDescent="0.35">
      <c r="A71" s="12">
        <v>69</v>
      </c>
      <c r="C71">
        <v>8</v>
      </c>
      <c r="E71" s="13">
        <v>6</v>
      </c>
      <c r="F71" s="13">
        <v>7</v>
      </c>
      <c r="G71" t="s">
        <v>47</v>
      </c>
      <c r="H71" t="s">
        <v>216</v>
      </c>
      <c r="I71" t="s">
        <v>217</v>
      </c>
      <c r="J71" s="14">
        <f t="shared" si="5"/>
        <v>235.5</v>
      </c>
      <c r="K71">
        <v>1300</v>
      </c>
      <c r="N71" t="s">
        <v>218</v>
      </c>
      <c r="Q71">
        <v>4</v>
      </c>
      <c r="U71">
        <v>5</v>
      </c>
      <c r="W71" t="s">
        <v>219</v>
      </c>
      <c r="X71" t="s">
        <v>40</v>
      </c>
      <c r="Y71" t="s">
        <v>40</v>
      </c>
      <c r="Z71" t="s">
        <v>220</v>
      </c>
      <c r="AA71">
        <f t="shared" si="6"/>
        <v>23.55</v>
      </c>
      <c r="AB71" s="17">
        <v>74</v>
      </c>
      <c r="AC71">
        <f t="shared" si="7"/>
        <v>0.43008403427644271</v>
      </c>
      <c r="AI71" t="e">
        <f>IF(Y71="Yes",NA(),#REF!)</f>
        <v>#N/A</v>
      </c>
      <c r="AJ71" t="e">
        <f>IF(Y71="Yes",NA(),#REF!)</f>
        <v>#N/A</v>
      </c>
      <c r="AK71" t="e">
        <f>IF(Y71="Yes",NA(),#REF!)</f>
        <v>#N/A</v>
      </c>
    </row>
    <row r="72" spans="1:37" x14ac:dyDescent="0.35">
      <c r="A72" s="12">
        <v>70</v>
      </c>
      <c r="C72">
        <v>8</v>
      </c>
      <c r="E72" s="13" t="s">
        <v>75</v>
      </c>
      <c r="F72" s="13">
        <v>7</v>
      </c>
      <c r="G72" t="s">
        <v>59</v>
      </c>
      <c r="H72" t="s">
        <v>221</v>
      </c>
      <c r="J72" s="14">
        <f t="shared" si="5"/>
        <v>286.5</v>
      </c>
      <c r="K72">
        <v>1300</v>
      </c>
      <c r="N72" t="s">
        <v>54</v>
      </c>
      <c r="Q72">
        <v>5</v>
      </c>
      <c r="U72">
        <v>3</v>
      </c>
      <c r="W72" t="s">
        <v>222</v>
      </c>
      <c r="X72" t="s">
        <v>40</v>
      </c>
      <c r="Y72" t="s">
        <v>40</v>
      </c>
      <c r="AA72">
        <f t="shared" si="6"/>
        <v>28.65</v>
      </c>
      <c r="AB72" s="15">
        <v>90</v>
      </c>
      <c r="AC72">
        <f t="shared" si="7"/>
        <v>0.63617251235193317</v>
      </c>
      <c r="AI72" t="e">
        <f>IF(Y72="Yes",NA(),#REF!)</f>
        <v>#N/A</v>
      </c>
      <c r="AJ72" t="e">
        <f>IF(Y72="Yes",NA(),#REF!)</f>
        <v>#N/A</v>
      </c>
      <c r="AK72" t="e">
        <f>IF(Y72="Yes",NA(),#REF!)</f>
        <v>#N/A</v>
      </c>
    </row>
    <row r="73" spans="1:37" x14ac:dyDescent="0.35">
      <c r="A73" s="12">
        <v>71</v>
      </c>
      <c r="C73">
        <v>9</v>
      </c>
      <c r="E73" s="2">
        <v>3</v>
      </c>
      <c r="F73" s="2" t="s">
        <v>33</v>
      </c>
      <c r="G73" t="s">
        <v>63</v>
      </c>
      <c r="H73" t="s">
        <v>64</v>
      </c>
      <c r="J73" s="14">
        <f t="shared" si="5"/>
        <v>127.30000000000001</v>
      </c>
      <c r="K73">
        <v>1300</v>
      </c>
      <c r="N73" t="s">
        <v>54</v>
      </c>
      <c r="Q73">
        <v>4</v>
      </c>
      <c r="W73" t="s">
        <v>223</v>
      </c>
      <c r="AA73">
        <f t="shared" si="6"/>
        <v>12.73</v>
      </c>
      <c r="AB73" s="21">
        <v>40</v>
      </c>
      <c r="AC73">
        <f t="shared" si="7"/>
        <v>0.12566370614359174</v>
      </c>
      <c r="AI73" t="e">
        <f>IF(Y73="Yes",NA(),#REF!)</f>
        <v>#REF!</v>
      </c>
      <c r="AJ73" t="e">
        <f>IF(Y73="Yes",NA(),#REF!)</f>
        <v>#REF!</v>
      </c>
      <c r="AK73" t="e">
        <f>IF(Y73="Yes",NA(),#REF!)</f>
        <v>#REF!</v>
      </c>
    </row>
    <row r="74" spans="1:37" x14ac:dyDescent="0.35">
      <c r="A74" s="12">
        <v>72</v>
      </c>
      <c r="C74">
        <v>9</v>
      </c>
      <c r="E74" s="2">
        <v>3</v>
      </c>
      <c r="F74" s="13">
        <v>5</v>
      </c>
      <c r="G74" t="s">
        <v>224</v>
      </c>
      <c r="H74" t="s">
        <v>225</v>
      </c>
      <c r="J74" s="14">
        <f t="shared" si="5"/>
        <v>222.8</v>
      </c>
      <c r="K74">
        <v>1300</v>
      </c>
      <c r="N74" t="s">
        <v>37</v>
      </c>
      <c r="Q74">
        <v>5</v>
      </c>
      <c r="U74">
        <v>2</v>
      </c>
      <c r="W74" t="s">
        <v>226</v>
      </c>
      <c r="X74" t="s">
        <v>40</v>
      </c>
      <c r="Y74" t="s">
        <v>40</v>
      </c>
      <c r="AA74">
        <f t="shared" si="6"/>
        <v>22.28</v>
      </c>
      <c r="AB74" s="22">
        <v>70</v>
      </c>
      <c r="AC74">
        <f t="shared" si="7"/>
        <v>0.38484510006474965</v>
      </c>
      <c r="AI74" t="e">
        <f>IF(Y74="Yes",NA(),#REF!)</f>
        <v>#N/A</v>
      </c>
      <c r="AJ74" t="e">
        <f>IF(Y74="Yes",NA(),#REF!)</f>
        <v>#N/A</v>
      </c>
      <c r="AK74" t="e">
        <f>IF(Y74="Yes",NA(),#REF!)</f>
        <v>#N/A</v>
      </c>
    </row>
    <row r="75" spans="1:37" x14ac:dyDescent="0.35">
      <c r="A75" s="12">
        <v>73</v>
      </c>
      <c r="C75">
        <v>9</v>
      </c>
      <c r="E75" s="2" t="s">
        <v>111</v>
      </c>
      <c r="F75" s="2" t="s">
        <v>75</v>
      </c>
      <c r="G75" t="s">
        <v>213</v>
      </c>
      <c r="H75" t="s">
        <v>227</v>
      </c>
      <c r="I75" t="s">
        <v>228</v>
      </c>
      <c r="J75" s="14">
        <f t="shared" si="5"/>
        <v>229.20000000000002</v>
      </c>
      <c r="K75">
        <v>1300</v>
      </c>
      <c r="N75" t="s">
        <v>37</v>
      </c>
      <c r="Q75">
        <v>5</v>
      </c>
      <c r="W75" t="s">
        <v>229</v>
      </c>
      <c r="X75" t="s">
        <v>40</v>
      </c>
      <c r="Y75" t="s">
        <v>40</v>
      </c>
      <c r="AA75">
        <f t="shared" si="6"/>
        <v>22.92</v>
      </c>
      <c r="AB75" s="22">
        <v>72</v>
      </c>
      <c r="AC75">
        <f t="shared" si="7"/>
        <v>0.40715040790523715</v>
      </c>
      <c r="AI75" t="e">
        <f>IF(Y75="Yes",NA(),#REF!)</f>
        <v>#N/A</v>
      </c>
      <c r="AJ75" t="e">
        <f>IF(Y75="Yes",NA(),#REF!)</f>
        <v>#N/A</v>
      </c>
      <c r="AK75" t="e">
        <f>IF(Y75="Yes",NA(),#REF!)</f>
        <v>#N/A</v>
      </c>
    </row>
    <row r="76" spans="1:37" x14ac:dyDescent="0.35">
      <c r="A76" s="12">
        <v>74</v>
      </c>
      <c r="C76">
        <v>9</v>
      </c>
      <c r="E76" s="2" t="s">
        <v>111</v>
      </c>
      <c r="F76" s="13">
        <v>5</v>
      </c>
      <c r="G76" t="s">
        <v>63</v>
      </c>
      <c r="H76" t="s">
        <v>64</v>
      </c>
      <c r="J76" s="14">
        <f t="shared" si="5"/>
        <v>101.89999999999999</v>
      </c>
      <c r="K76">
        <v>1300</v>
      </c>
      <c r="N76" t="s">
        <v>61</v>
      </c>
      <c r="Q76">
        <v>4</v>
      </c>
      <c r="W76" t="s">
        <v>230</v>
      </c>
      <c r="AA76">
        <f t="shared" si="6"/>
        <v>10.19</v>
      </c>
      <c r="AB76" s="21">
        <v>32</v>
      </c>
      <c r="AC76">
        <f t="shared" si="7"/>
        <v>8.0424771931898703E-2</v>
      </c>
      <c r="AI76" t="e">
        <f>IF(Y76="Yes",NA(),#REF!)</f>
        <v>#REF!</v>
      </c>
      <c r="AJ76" t="e">
        <f>IF(Y76="Yes",NA(),#REF!)</f>
        <v>#REF!</v>
      </c>
      <c r="AK76" t="e">
        <f>IF(Y76="Yes",NA(),#REF!)</f>
        <v>#REF!</v>
      </c>
    </row>
    <row r="77" spans="1:37" x14ac:dyDescent="0.35">
      <c r="A77" s="12">
        <v>75</v>
      </c>
      <c r="C77">
        <v>9</v>
      </c>
      <c r="E77" s="23">
        <v>7</v>
      </c>
      <c r="F77" s="23">
        <v>5</v>
      </c>
      <c r="G77" t="s">
        <v>231</v>
      </c>
      <c r="H77" t="s">
        <v>232</v>
      </c>
      <c r="J77" s="14">
        <f t="shared" si="5"/>
        <v>232.39999999999998</v>
      </c>
      <c r="K77">
        <v>1300</v>
      </c>
      <c r="N77" t="s">
        <v>61</v>
      </c>
      <c r="Q77">
        <v>4</v>
      </c>
      <c r="U77">
        <v>3</v>
      </c>
      <c r="W77" t="s">
        <v>233</v>
      </c>
      <c r="X77" t="s">
        <v>40</v>
      </c>
      <c r="Y77" t="s">
        <v>40</v>
      </c>
      <c r="AA77">
        <f t="shared" si="6"/>
        <v>23.24</v>
      </c>
      <c r="AB77" s="21">
        <v>73</v>
      </c>
      <c r="AC77">
        <f t="shared" si="7"/>
        <v>0.41853868127450017</v>
      </c>
      <c r="AI77" t="e">
        <f>IF(Y77="Yes",NA(),#REF!)</f>
        <v>#N/A</v>
      </c>
      <c r="AJ77" t="e">
        <f>IF(Y77="Yes",NA(),#REF!)</f>
        <v>#N/A</v>
      </c>
      <c r="AK77" t="e">
        <f>IF(Y77="Yes",NA(),#REF!)</f>
        <v>#N/A</v>
      </c>
    </row>
    <row r="78" spans="1:37" x14ac:dyDescent="0.35">
      <c r="A78" s="12">
        <v>76</v>
      </c>
      <c r="C78">
        <v>9</v>
      </c>
      <c r="E78" s="2">
        <v>7</v>
      </c>
      <c r="F78" s="13">
        <v>6</v>
      </c>
      <c r="G78" t="s">
        <v>59</v>
      </c>
      <c r="H78" t="s">
        <v>234</v>
      </c>
      <c r="J78" s="14">
        <f t="shared" si="5"/>
        <v>133.69999999999999</v>
      </c>
      <c r="K78">
        <v>1300</v>
      </c>
      <c r="N78" t="s">
        <v>54</v>
      </c>
      <c r="Q78">
        <v>5</v>
      </c>
      <c r="U78">
        <v>3</v>
      </c>
      <c r="W78" t="s">
        <v>235</v>
      </c>
      <c r="X78" t="s">
        <v>40</v>
      </c>
      <c r="Y78" t="s">
        <v>40</v>
      </c>
      <c r="AA78">
        <f t="shared" si="6"/>
        <v>13.37</v>
      </c>
      <c r="AB78" s="22">
        <v>42</v>
      </c>
      <c r="AC78">
        <f t="shared" si="7"/>
        <v>0.1385442360233099</v>
      </c>
      <c r="AI78" t="e">
        <f>IF(Y78="Yes",NA(),#REF!)</f>
        <v>#N/A</v>
      </c>
      <c r="AJ78" t="e">
        <f>IF(Y78="Yes",NA(),#REF!)</f>
        <v>#N/A</v>
      </c>
      <c r="AK78" t="e">
        <f>IF(Y78="Yes",NA(),#REF!)</f>
        <v>#N/A</v>
      </c>
    </row>
    <row r="79" spans="1:37" x14ac:dyDescent="0.35">
      <c r="A79" s="12">
        <v>77</v>
      </c>
      <c r="C79">
        <v>9</v>
      </c>
      <c r="E79" s="2">
        <v>3</v>
      </c>
      <c r="F79" s="2">
        <v>9</v>
      </c>
      <c r="G79" t="s">
        <v>63</v>
      </c>
      <c r="H79" t="s">
        <v>64</v>
      </c>
      <c r="J79" s="14">
        <f t="shared" si="5"/>
        <v>111.4</v>
      </c>
      <c r="K79">
        <v>1300</v>
      </c>
      <c r="N79" t="s">
        <v>54</v>
      </c>
      <c r="Q79">
        <v>4</v>
      </c>
      <c r="W79" t="s">
        <v>236</v>
      </c>
      <c r="AA79">
        <f t="shared" si="6"/>
        <v>11.14</v>
      </c>
      <c r="AB79" s="21">
        <v>35</v>
      </c>
      <c r="AC79">
        <f t="shared" si="7"/>
        <v>9.6211275016187411E-2</v>
      </c>
      <c r="AI79" t="e">
        <f>IF(Y79="Yes",NA(),#REF!)</f>
        <v>#REF!</v>
      </c>
      <c r="AJ79" t="e">
        <f>IF(Y79="Yes",NA(),#REF!)</f>
        <v>#REF!</v>
      </c>
      <c r="AK79" t="e">
        <f>IF(Y79="Yes",NA(),#REF!)</f>
        <v>#REF!</v>
      </c>
    </row>
    <row r="80" spans="1:37" x14ac:dyDescent="0.35">
      <c r="A80" s="12">
        <v>78</v>
      </c>
      <c r="C80">
        <v>10</v>
      </c>
      <c r="E80" s="2" t="s">
        <v>33</v>
      </c>
      <c r="F80" s="2" t="s">
        <v>58</v>
      </c>
      <c r="G80" t="s">
        <v>66</v>
      </c>
      <c r="H80" t="s">
        <v>237</v>
      </c>
      <c r="J80" s="14">
        <f t="shared" si="5"/>
        <v>203.70000000000002</v>
      </c>
      <c r="K80">
        <v>1300</v>
      </c>
      <c r="N80" t="s">
        <v>37</v>
      </c>
      <c r="Q80">
        <v>5</v>
      </c>
      <c r="U80">
        <v>2</v>
      </c>
      <c r="W80" t="s">
        <v>238</v>
      </c>
      <c r="X80" t="s">
        <v>40</v>
      </c>
      <c r="Y80" t="s">
        <v>40</v>
      </c>
      <c r="AA80">
        <f t="shared" si="6"/>
        <v>20.37</v>
      </c>
      <c r="AB80" s="22">
        <v>64</v>
      </c>
      <c r="AC80">
        <f t="shared" si="7"/>
        <v>0.32169908772759481</v>
      </c>
      <c r="AI80" t="e">
        <f>IF(Y80="Yes",NA(),#REF!)</f>
        <v>#N/A</v>
      </c>
      <c r="AJ80" t="e">
        <f>IF(Y80="Yes",NA(),#REF!)</f>
        <v>#N/A</v>
      </c>
      <c r="AK80" t="e">
        <f>IF(Y80="Yes",NA(),#REF!)</f>
        <v>#N/A</v>
      </c>
    </row>
    <row r="81" spans="1:37" x14ac:dyDescent="0.35">
      <c r="A81" s="12">
        <v>79</v>
      </c>
      <c r="C81">
        <v>10</v>
      </c>
      <c r="E81" s="2">
        <v>1</v>
      </c>
      <c r="F81" s="2">
        <v>9</v>
      </c>
      <c r="G81" t="s">
        <v>70</v>
      </c>
      <c r="H81" t="s">
        <v>35</v>
      </c>
      <c r="I81" t="s">
        <v>72</v>
      </c>
      <c r="J81" s="14">
        <f t="shared" si="5"/>
        <v>168.70000000000002</v>
      </c>
      <c r="K81">
        <v>1300</v>
      </c>
      <c r="N81" t="s">
        <v>54</v>
      </c>
      <c r="Q81">
        <v>5</v>
      </c>
      <c r="U81">
        <v>3</v>
      </c>
      <c r="W81" t="s">
        <v>239</v>
      </c>
      <c r="X81" t="s">
        <v>240</v>
      </c>
      <c r="Y81" t="s">
        <v>40</v>
      </c>
      <c r="Z81" t="s">
        <v>241</v>
      </c>
      <c r="AA81">
        <f t="shared" si="6"/>
        <v>16.87</v>
      </c>
      <c r="AB81" s="22">
        <v>53</v>
      </c>
      <c r="AC81">
        <f t="shared" si="7"/>
        <v>0.22061834409834324</v>
      </c>
      <c r="AI81" t="e">
        <f>IF(Y81="Yes",NA(),#REF!)</f>
        <v>#N/A</v>
      </c>
      <c r="AJ81" t="e">
        <f>IF(Y81="Yes",NA(),#REF!)</f>
        <v>#N/A</v>
      </c>
      <c r="AK81" t="e">
        <f>IF(Y81="Yes",NA(),#REF!)</f>
        <v>#N/A</v>
      </c>
    </row>
    <row r="82" spans="1:37" x14ac:dyDescent="0.35">
      <c r="A82" s="12">
        <v>80</v>
      </c>
      <c r="C82">
        <v>10</v>
      </c>
      <c r="E82" s="2">
        <v>2</v>
      </c>
      <c r="F82" s="2" t="s">
        <v>174</v>
      </c>
      <c r="G82" t="s">
        <v>242</v>
      </c>
      <c r="H82" s="20" t="s">
        <v>243</v>
      </c>
      <c r="J82" s="14">
        <f t="shared" si="5"/>
        <v>375.6</v>
      </c>
      <c r="K82">
        <v>1300</v>
      </c>
      <c r="N82" t="s">
        <v>54</v>
      </c>
      <c r="Q82">
        <v>5</v>
      </c>
      <c r="U82">
        <v>3</v>
      </c>
      <c r="W82" t="s">
        <v>244</v>
      </c>
      <c r="X82" t="s">
        <v>40</v>
      </c>
      <c r="Y82" t="s">
        <v>40</v>
      </c>
      <c r="AA82">
        <f t="shared" si="6"/>
        <v>37.56</v>
      </c>
      <c r="AB82" s="21">
        <v>118</v>
      </c>
      <c r="AC82">
        <f t="shared" si="7"/>
        <v>1.093588402714607</v>
      </c>
      <c r="AI82" t="e">
        <f>IF(Y82="Yes",NA(),#REF!)</f>
        <v>#N/A</v>
      </c>
      <c r="AJ82" t="e">
        <f>IF(Y82="Yes",NA(),#REF!)</f>
        <v>#N/A</v>
      </c>
      <c r="AK82" t="e">
        <f>IF(Y82="Yes",NA(),#REF!)</f>
        <v>#N/A</v>
      </c>
    </row>
    <row r="83" spans="1:37" x14ac:dyDescent="0.35">
      <c r="A83" s="12">
        <v>81</v>
      </c>
      <c r="C83">
        <v>10</v>
      </c>
      <c r="E83" s="2" t="s">
        <v>52</v>
      </c>
      <c r="F83" s="2">
        <v>2</v>
      </c>
      <c r="G83" t="s">
        <v>66</v>
      </c>
      <c r="H83" t="s">
        <v>245</v>
      </c>
      <c r="I83" t="s">
        <v>86</v>
      </c>
      <c r="J83" s="14">
        <f t="shared" si="5"/>
        <v>391.5</v>
      </c>
      <c r="K83">
        <v>1300</v>
      </c>
      <c r="N83" t="s">
        <v>246</v>
      </c>
      <c r="Q83">
        <v>5</v>
      </c>
      <c r="U83">
        <v>3</v>
      </c>
      <c r="W83" t="s">
        <v>247</v>
      </c>
      <c r="X83" t="s">
        <v>40</v>
      </c>
      <c r="Y83" t="s">
        <v>40</v>
      </c>
      <c r="Z83" t="s">
        <v>248</v>
      </c>
      <c r="AA83">
        <f t="shared" si="6"/>
        <v>39.15</v>
      </c>
      <c r="AB83" s="22">
        <v>123</v>
      </c>
      <c r="AC83">
        <f t="shared" si="7"/>
        <v>1.1882288814039996</v>
      </c>
      <c r="AI83" t="e">
        <f>IF(Y83="Yes",NA(),#REF!)</f>
        <v>#N/A</v>
      </c>
      <c r="AJ83" t="e">
        <f>IF(Y83="Yes",NA(),#REF!)</f>
        <v>#N/A</v>
      </c>
      <c r="AK83" t="e">
        <f>IF(Y83="Yes",NA(),#REF!)</f>
        <v>#N/A</v>
      </c>
    </row>
    <row r="84" spans="1:37" x14ac:dyDescent="0.35">
      <c r="A84" s="12">
        <v>82</v>
      </c>
      <c r="C84">
        <v>10</v>
      </c>
      <c r="E84" s="2" t="s">
        <v>52</v>
      </c>
      <c r="F84" s="2">
        <v>3</v>
      </c>
      <c r="G84" t="s">
        <v>47</v>
      </c>
      <c r="H84" t="s">
        <v>216</v>
      </c>
      <c r="I84" t="s">
        <v>86</v>
      </c>
      <c r="J84" s="14">
        <f t="shared" si="5"/>
        <v>210.10000000000002</v>
      </c>
      <c r="K84">
        <v>1300</v>
      </c>
      <c r="N84" t="s">
        <v>54</v>
      </c>
      <c r="Q84">
        <v>5</v>
      </c>
      <c r="U84">
        <v>3</v>
      </c>
      <c r="W84" t="s">
        <v>249</v>
      </c>
      <c r="X84" t="s">
        <v>40</v>
      </c>
      <c r="Y84" t="s">
        <v>40</v>
      </c>
      <c r="AA84">
        <f t="shared" si="6"/>
        <v>21.01</v>
      </c>
      <c r="AB84" s="21">
        <v>66</v>
      </c>
      <c r="AC84">
        <f t="shared" si="7"/>
        <v>0.34211943997592847</v>
      </c>
      <c r="AI84" t="e">
        <f>IF(Y84="Yes",NA(),#REF!)</f>
        <v>#N/A</v>
      </c>
      <c r="AJ84" t="e">
        <f>IF(Y84="Yes",NA(),#REF!)</f>
        <v>#N/A</v>
      </c>
      <c r="AK84" t="e">
        <f>IF(Y84="Yes",NA(),#REF!)</f>
        <v>#N/A</v>
      </c>
    </row>
    <row r="85" spans="1:37" x14ac:dyDescent="0.35">
      <c r="A85" s="12">
        <v>83</v>
      </c>
      <c r="C85">
        <v>10</v>
      </c>
      <c r="E85" s="2">
        <v>10</v>
      </c>
      <c r="F85" s="2" t="s">
        <v>33</v>
      </c>
      <c r="G85" t="s">
        <v>63</v>
      </c>
      <c r="H85" t="s">
        <v>64</v>
      </c>
      <c r="J85" s="14">
        <f t="shared" si="5"/>
        <v>105</v>
      </c>
      <c r="K85">
        <v>1300</v>
      </c>
      <c r="N85" t="s">
        <v>54</v>
      </c>
      <c r="Q85">
        <v>4</v>
      </c>
      <c r="W85" t="s">
        <v>250</v>
      </c>
      <c r="AA85">
        <f t="shared" si="6"/>
        <v>10.5</v>
      </c>
      <c r="AB85" s="21">
        <v>33</v>
      </c>
      <c r="AC85">
        <f t="shared" si="7"/>
        <v>8.5529859993982119E-2</v>
      </c>
      <c r="AI85" t="e">
        <f>IF(Y85="Yes",NA(),#REF!)</f>
        <v>#REF!</v>
      </c>
      <c r="AJ85" t="e">
        <f>IF(Y85="Yes",NA(),#REF!)</f>
        <v>#REF!</v>
      </c>
      <c r="AK85" t="e">
        <f>IF(Y85="Yes",NA(),#REF!)</f>
        <v>#REF!</v>
      </c>
    </row>
    <row r="86" spans="1:37" x14ac:dyDescent="0.35">
      <c r="A86" s="12">
        <v>84</v>
      </c>
      <c r="C86">
        <v>10</v>
      </c>
      <c r="E86" s="2" t="s">
        <v>51</v>
      </c>
      <c r="F86" s="2">
        <v>4</v>
      </c>
      <c r="G86" t="s">
        <v>251</v>
      </c>
      <c r="H86" t="s">
        <v>192</v>
      </c>
      <c r="J86" s="14">
        <f t="shared" si="5"/>
        <v>232.39999999999998</v>
      </c>
      <c r="K86">
        <v>1300</v>
      </c>
      <c r="N86" t="s">
        <v>252</v>
      </c>
      <c r="Q86">
        <v>5</v>
      </c>
      <c r="U86">
        <v>3</v>
      </c>
      <c r="W86" t="s">
        <v>253</v>
      </c>
      <c r="X86" t="s">
        <v>40</v>
      </c>
      <c r="Y86" t="s">
        <v>40</v>
      </c>
      <c r="AA86">
        <f t="shared" si="6"/>
        <v>23.24</v>
      </c>
      <c r="AB86" s="22">
        <v>73</v>
      </c>
      <c r="AC86">
        <f t="shared" si="7"/>
        <v>0.41853868127450017</v>
      </c>
      <c r="AI86" t="e">
        <f>IF(Y86="Yes",NA(),#REF!)</f>
        <v>#N/A</v>
      </c>
      <c r="AJ86" t="e">
        <f>IF(Y86="Yes",NA(),#REF!)</f>
        <v>#N/A</v>
      </c>
      <c r="AK86" t="e">
        <f>IF(Y86="Yes",NA(),#REF!)</f>
        <v>#N/A</v>
      </c>
    </row>
    <row r="87" spans="1:37" x14ac:dyDescent="0.35">
      <c r="A87" s="12">
        <v>85</v>
      </c>
      <c r="C87">
        <v>10</v>
      </c>
      <c r="E87" s="2">
        <v>10</v>
      </c>
      <c r="F87" s="2">
        <v>6</v>
      </c>
      <c r="G87" t="s">
        <v>70</v>
      </c>
      <c r="H87" t="s">
        <v>35</v>
      </c>
      <c r="I87" t="s">
        <v>254</v>
      </c>
      <c r="J87" s="14">
        <f t="shared" si="5"/>
        <v>117.8</v>
      </c>
      <c r="K87">
        <v>1300</v>
      </c>
      <c r="N87" t="s">
        <v>61</v>
      </c>
      <c r="Q87" t="s">
        <v>38</v>
      </c>
      <c r="W87" t="s">
        <v>255</v>
      </c>
      <c r="X87" t="s">
        <v>40</v>
      </c>
      <c r="Y87" t="s">
        <v>40</v>
      </c>
      <c r="AA87">
        <f t="shared" si="6"/>
        <v>11.78</v>
      </c>
      <c r="AB87" s="22">
        <v>37</v>
      </c>
      <c r="AC87">
        <f t="shared" si="7"/>
        <v>0.10752100856911068</v>
      </c>
      <c r="AI87" t="e">
        <f>IF(Y87="Yes",NA(),#REF!)</f>
        <v>#N/A</v>
      </c>
      <c r="AJ87" t="e">
        <f>IF(Y87="Yes",NA(),#REF!)</f>
        <v>#N/A</v>
      </c>
      <c r="AK87" t="e">
        <f>IF(Y87="Yes",NA(),#REF!)</f>
        <v>#N/A</v>
      </c>
    </row>
    <row r="88" spans="1:37" x14ac:dyDescent="0.35">
      <c r="A88" s="12">
        <v>86</v>
      </c>
      <c r="C88">
        <v>10</v>
      </c>
      <c r="E88" s="2">
        <v>9</v>
      </c>
      <c r="F88" s="2">
        <v>7</v>
      </c>
      <c r="G88" t="s">
        <v>66</v>
      </c>
      <c r="H88" t="s">
        <v>148</v>
      </c>
      <c r="I88" t="s">
        <v>86</v>
      </c>
      <c r="J88" s="14">
        <f t="shared" si="5"/>
        <v>133.69999999999999</v>
      </c>
      <c r="K88">
        <v>1300</v>
      </c>
      <c r="N88" t="s">
        <v>54</v>
      </c>
      <c r="Q88">
        <v>4</v>
      </c>
      <c r="U88">
        <v>3</v>
      </c>
      <c r="W88" t="s">
        <v>256</v>
      </c>
      <c r="X88" s="24" t="s">
        <v>40</v>
      </c>
      <c r="Y88" t="s">
        <v>40</v>
      </c>
      <c r="AA88">
        <f t="shared" si="6"/>
        <v>13.37</v>
      </c>
      <c r="AB88" s="22">
        <v>42</v>
      </c>
      <c r="AC88">
        <f t="shared" si="7"/>
        <v>0.1385442360233099</v>
      </c>
      <c r="AI88" t="e">
        <f>IF(Y88="Yes",NA(),#REF!)</f>
        <v>#N/A</v>
      </c>
      <c r="AJ88" t="e">
        <f>IF(Y88="Yes",NA(),#REF!)</f>
        <v>#N/A</v>
      </c>
      <c r="AK88" t="e">
        <f>IF(Y88="Yes",NA(),#REF!)</f>
        <v>#N/A</v>
      </c>
    </row>
    <row r="89" spans="1:37" x14ac:dyDescent="0.35">
      <c r="A89" s="12">
        <v>87</v>
      </c>
      <c r="C89">
        <v>10</v>
      </c>
      <c r="E89" s="2">
        <v>9</v>
      </c>
      <c r="F89" s="2" t="s">
        <v>52</v>
      </c>
      <c r="G89" t="s">
        <v>66</v>
      </c>
      <c r="H89" t="s">
        <v>67</v>
      </c>
      <c r="J89" s="14">
        <f t="shared" si="5"/>
        <v>251.5</v>
      </c>
      <c r="K89">
        <v>1300</v>
      </c>
      <c r="N89" t="s">
        <v>54</v>
      </c>
      <c r="Q89">
        <v>5</v>
      </c>
      <c r="U89">
        <v>3</v>
      </c>
      <c r="W89" t="s">
        <v>257</v>
      </c>
      <c r="X89" t="s">
        <v>40</v>
      </c>
      <c r="Y89" t="s">
        <v>40</v>
      </c>
      <c r="AA89">
        <f t="shared" si="6"/>
        <v>25.15</v>
      </c>
      <c r="AB89" s="21">
        <v>79</v>
      </c>
      <c r="AC89">
        <f t="shared" si="7"/>
        <v>0.49016699377634748</v>
      </c>
      <c r="AI89" t="e">
        <f>IF(Y89="Yes",NA(),#REF!)</f>
        <v>#N/A</v>
      </c>
      <c r="AJ89" t="e">
        <f>IF(Y89="Yes",NA(),#REF!)</f>
        <v>#N/A</v>
      </c>
      <c r="AK89" t="e">
        <f>IF(Y89="Yes",NA(),#REF!)</f>
        <v>#N/A</v>
      </c>
    </row>
    <row r="90" spans="1:37" x14ac:dyDescent="0.35">
      <c r="A90" s="12">
        <v>89</v>
      </c>
      <c r="C90">
        <v>10</v>
      </c>
      <c r="E90" s="2">
        <v>10</v>
      </c>
      <c r="F90" s="2">
        <v>8</v>
      </c>
      <c r="G90" t="s">
        <v>114</v>
      </c>
      <c r="H90" t="s">
        <v>35</v>
      </c>
      <c r="I90" t="s">
        <v>228</v>
      </c>
      <c r="J90" s="14">
        <f t="shared" si="5"/>
        <v>136.9</v>
      </c>
      <c r="K90">
        <v>1300</v>
      </c>
      <c r="N90" t="s">
        <v>258</v>
      </c>
      <c r="Q90" t="s">
        <v>259</v>
      </c>
      <c r="U90">
        <v>3</v>
      </c>
      <c r="W90" t="s">
        <v>260</v>
      </c>
      <c r="X90" t="s">
        <v>40</v>
      </c>
      <c r="Y90" t="s">
        <v>40</v>
      </c>
      <c r="Z90" t="s">
        <v>261</v>
      </c>
      <c r="AA90">
        <f t="shared" si="6"/>
        <v>13.69</v>
      </c>
      <c r="AB90" s="22">
        <v>43</v>
      </c>
      <c r="AC90">
        <f t="shared" si="7"/>
        <v>0.14522012041218818</v>
      </c>
      <c r="AI90" t="e">
        <f>IF(Y90="Yes",NA(),#REF!)</f>
        <v>#N/A</v>
      </c>
      <c r="AJ90" t="e">
        <f>IF(Y90="Yes",NA(),#REF!)</f>
        <v>#N/A</v>
      </c>
      <c r="AK90" t="e">
        <f>IF(Y90="Yes",NA(),#REF!)</f>
        <v>#N/A</v>
      </c>
    </row>
    <row r="91" spans="1:37" x14ac:dyDescent="0.35">
      <c r="A91" s="12">
        <v>90</v>
      </c>
      <c r="C91">
        <v>10</v>
      </c>
      <c r="E91" s="2">
        <v>7</v>
      </c>
      <c r="F91" s="2">
        <v>9</v>
      </c>
      <c r="G91" t="s">
        <v>104</v>
      </c>
      <c r="H91" t="s">
        <v>262</v>
      </c>
      <c r="J91" s="14">
        <f t="shared" si="5"/>
        <v>106.6</v>
      </c>
      <c r="K91">
        <v>1300</v>
      </c>
      <c r="N91" t="s">
        <v>54</v>
      </c>
      <c r="Q91">
        <v>4</v>
      </c>
      <c r="U91">
        <v>3</v>
      </c>
      <c r="W91" t="s">
        <v>263</v>
      </c>
      <c r="X91" t="s">
        <v>40</v>
      </c>
      <c r="Y91" t="s">
        <v>40</v>
      </c>
      <c r="AA91">
        <f t="shared" si="6"/>
        <v>10.66</v>
      </c>
      <c r="AB91" s="22">
        <v>33.5</v>
      </c>
      <c r="AC91">
        <f t="shared" si="7"/>
        <v>8.8141308887278627E-2</v>
      </c>
    </row>
    <row r="92" spans="1:37" x14ac:dyDescent="0.35">
      <c r="A92" s="12">
        <v>91</v>
      </c>
      <c r="C92">
        <v>10</v>
      </c>
      <c r="E92" s="2" t="s">
        <v>264</v>
      </c>
      <c r="F92" s="2" t="s">
        <v>58</v>
      </c>
      <c r="G92" t="s">
        <v>76</v>
      </c>
      <c r="H92" t="s">
        <v>77</v>
      </c>
      <c r="J92" s="14">
        <f t="shared" si="5"/>
        <v>111.1</v>
      </c>
      <c r="K92">
        <v>1300</v>
      </c>
      <c r="N92" t="s">
        <v>265</v>
      </c>
      <c r="Q92" t="s">
        <v>38</v>
      </c>
      <c r="U92">
        <v>3</v>
      </c>
      <c r="W92" t="s">
        <v>266</v>
      </c>
      <c r="X92" t="s">
        <v>40</v>
      </c>
      <c r="Y92" t="s">
        <v>40</v>
      </c>
      <c r="Z92" t="s">
        <v>267</v>
      </c>
      <c r="AA92">
        <f t="shared" si="6"/>
        <v>11.11</v>
      </c>
      <c r="AB92" s="22">
        <v>34.9</v>
      </c>
      <c r="AC92">
        <f t="shared" si="7"/>
        <v>9.5662281699972582E-2</v>
      </c>
      <c r="AI92" t="e">
        <f>IF(Y92="Yes",NA(),#REF!)</f>
        <v>#N/A</v>
      </c>
      <c r="AJ92" t="e">
        <f>IF(Y92="Yes",NA(),#REF!)</f>
        <v>#N/A</v>
      </c>
      <c r="AK92" t="e">
        <f>IF(Y92="Yes",NA(),#REF!)</f>
        <v>#N/A</v>
      </c>
    </row>
    <row r="93" spans="1:37" x14ac:dyDescent="0.35">
      <c r="A93" s="12">
        <v>92</v>
      </c>
      <c r="C93">
        <v>10</v>
      </c>
      <c r="E93" s="2" t="s">
        <v>111</v>
      </c>
      <c r="F93" s="2">
        <v>8</v>
      </c>
      <c r="G93" t="s">
        <v>66</v>
      </c>
      <c r="H93" t="s">
        <v>67</v>
      </c>
      <c r="J93" s="14">
        <f t="shared" si="5"/>
        <v>148</v>
      </c>
      <c r="K93">
        <v>1300</v>
      </c>
      <c r="N93" t="s">
        <v>54</v>
      </c>
      <c r="Q93" t="s">
        <v>38</v>
      </c>
      <c r="U93">
        <v>3</v>
      </c>
      <c r="W93" t="s">
        <v>268</v>
      </c>
      <c r="X93" t="s">
        <v>40</v>
      </c>
      <c r="Y93" t="s">
        <v>40</v>
      </c>
      <c r="AA93">
        <f t="shared" si="6"/>
        <v>14.8</v>
      </c>
      <c r="AB93" s="21">
        <v>46.5</v>
      </c>
      <c r="AC93">
        <f t="shared" si="7"/>
        <v>0.16982271788061323</v>
      </c>
      <c r="AI93" t="e">
        <f>IF(Y93="Yes",NA(),#REF!)</f>
        <v>#N/A</v>
      </c>
      <c r="AJ93" t="e">
        <f>IF(Y93="Yes",NA(),#REF!)</f>
        <v>#N/A</v>
      </c>
      <c r="AK93" t="e">
        <f>IF(Y93="Yes",NA(),#REF!)</f>
        <v>#N/A</v>
      </c>
    </row>
    <row r="94" spans="1:37" x14ac:dyDescent="0.35">
      <c r="A94" s="12">
        <v>93</v>
      </c>
      <c r="C94">
        <v>10</v>
      </c>
      <c r="E94" s="2">
        <v>0</v>
      </c>
      <c r="F94" s="2">
        <v>9</v>
      </c>
      <c r="G94" t="s">
        <v>34</v>
      </c>
      <c r="H94" t="s">
        <v>95</v>
      </c>
      <c r="J94" s="14">
        <f t="shared" si="5"/>
        <v>100.3</v>
      </c>
      <c r="K94">
        <v>1300</v>
      </c>
      <c r="N94" t="s">
        <v>54</v>
      </c>
      <c r="Q94" t="s">
        <v>38</v>
      </c>
      <c r="U94">
        <v>3</v>
      </c>
      <c r="W94" t="s">
        <v>269</v>
      </c>
      <c r="X94" t="s">
        <v>40</v>
      </c>
      <c r="Y94" t="s">
        <v>40</v>
      </c>
      <c r="AA94">
        <f t="shared" si="6"/>
        <v>10.029999999999999</v>
      </c>
      <c r="AB94" s="21">
        <v>31.5</v>
      </c>
      <c r="AC94">
        <f t="shared" si="7"/>
        <v>7.793113276311181E-2</v>
      </c>
      <c r="AI94" t="e">
        <f>IF(Y94="Yes",NA(),#REF!)</f>
        <v>#N/A</v>
      </c>
      <c r="AJ94" t="e">
        <f>IF(Y94="Yes",NA(),#REF!)</f>
        <v>#N/A</v>
      </c>
      <c r="AK94" t="e">
        <f>IF(Y94="Yes",NA(),#REF!)</f>
        <v>#N/A</v>
      </c>
    </row>
    <row r="95" spans="1:37" x14ac:dyDescent="0.35">
      <c r="A95" s="12">
        <v>94</v>
      </c>
      <c r="C95">
        <v>11</v>
      </c>
      <c r="E95" s="2">
        <v>1</v>
      </c>
      <c r="F95" s="2">
        <v>9.9</v>
      </c>
      <c r="G95" t="s">
        <v>47</v>
      </c>
      <c r="H95" t="s">
        <v>270</v>
      </c>
      <c r="J95" s="14">
        <f t="shared" si="5"/>
        <v>268.29999999999995</v>
      </c>
      <c r="K95">
        <v>1300</v>
      </c>
      <c r="N95" t="s">
        <v>61</v>
      </c>
      <c r="Q95">
        <v>5</v>
      </c>
      <c r="U95">
        <v>3</v>
      </c>
      <c r="W95" t="s">
        <v>271</v>
      </c>
      <c r="X95" t="s">
        <v>40</v>
      </c>
      <c r="Y95" t="s">
        <v>40</v>
      </c>
      <c r="AA95">
        <f t="shared" si="6"/>
        <v>26.83</v>
      </c>
      <c r="AB95" s="22">
        <v>84.3</v>
      </c>
      <c r="AC95">
        <f t="shared" si="7"/>
        <v>0.55814241942023313</v>
      </c>
      <c r="AI95" t="e">
        <f>IF(Y95="Yes",NA(),#REF!)</f>
        <v>#N/A</v>
      </c>
      <c r="AJ95" t="e">
        <f>IF(Y95="Yes",NA(),#REF!)</f>
        <v>#N/A</v>
      </c>
      <c r="AK95" t="e">
        <f>IF(Y95="Yes",NA(),#REF!)</f>
        <v>#N/A</v>
      </c>
    </row>
    <row r="96" spans="1:37" x14ac:dyDescent="0.35">
      <c r="A96" s="12">
        <v>95</v>
      </c>
      <c r="C96">
        <v>11</v>
      </c>
      <c r="E96" s="2">
        <v>6</v>
      </c>
      <c r="F96" s="2" t="s">
        <v>111</v>
      </c>
      <c r="G96" t="s">
        <v>272</v>
      </c>
      <c r="H96" t="s">
        <v>273</v>
      </c>
      <c r="J96" s="14">
        <f t="shared" si="5"/>
        <v>162.30000000000001</v>
      </c>
      <c r="K96">
        <v>1300</v>
      </c>
      <c r="N96" t="s">
        <v>54</v>
      </c>
      <c r="Q96" t="s">
        <v>38</v>
      </c>
      <c r="U96">
        <v>12</v>
      </c>
      <c r="W96" t="s">
        <v>274</v>
      </c>
      <c r="X96" t="s">
        <v>40</v>
      </c>
      <c r="Y96" t="s">
        <v>40</v>
      </c>
      <c r="AA96">
        <f t="shared" si="6"/>
        <v>16.23</v>
      </c>
      <c r="AB96" s="22">
        <v>51</v>
      </c>
      <c r="AC96">
        <f t="shared" si="7"/>
        <v>0.2042820622996763</v>
      </c>
      <c r="AI96" t="e">
        <f>IF(Y96="Yes",NA(),#REF!)</f>
        <v>#N/A</v>
      </c>
      <c r="AJ96" t="e">
        <f>IF(Y96="Yes",NA(),#REF!)</f>
        <v>#N/A</v>
      </c>
      <c r="AK96" t="e">
        <f>IF(Y96="Yes",NA(),#REF!)</f>
        <v>#N/A</v>
      </c>
    </row>
    <row r="97" spans="1:37" x14ac:dyDescent="0.35">
      <c r="A97" s="12">
        <v>96</v>
      </c>
      <c r="C97">
        <v>11</v>
      </c>
      <c r="E97" s="2">
        <v>9</v>
      </c>
      <c r="F97" s="2">
        <v>9</v>
      </c>
      <c r="G97" t="s">
        <v>34</v>
      </c>
      <c r="H97" t="s">
        <v>275</v>
      </c>
      <c r="I97" t="s">
        <v>276</v>
      </c>
      <c r="J97" s="14">
        <f t="shared" si="5"/>
        <v>115.9</v>
      </c>
      <c r="K97">
        <v>1300</v>
      </c>
      <c r="N97" t="s">
        <v>54</v>
      </c>
      <c r="Q97" t="s">
        <v>38</v>
      </c>
      <c r="U97">
        <v>3</v>
      </c>
      <c r="W97" t="s">
        <v>277</v>
      </c>
      <c r="X97" t="s">
        <v>40</v>
      </c>
      <c r="Y97" t="s">
        <v>40</v>
      </c>
      <c r="AA97">
        <f t="shared" si="6"/>
        <v>11.59</v>
      </c>
      <c r="AB97" s="22">
        <v>36.4</v>
      </c>
      <c r="AC97">
        <f t="shared" si="7"/>
        <v>0.1040621150575083</v>
      </c>
      <c r="AI97" t="e">
        <f>IF(Y97="Yes",NA(),#REF!)</f>
        <v>#N/A</v>
      </c>
      <c r="AJ97" t="e">
        <f>IF(Y97="Yes",NA(),#REF!)</f>
        <v>#N/A</v>
      </c>
      <c r="AK97" t="e">
        <f>IF(Y97="Yes",NA(),#REF!)</f>
        <v>#N/A</v>
      </c>
    </row>
    <row r="98" spans="1:37" x14ac:dyDescent="0.35">
      <c r="A98" s="12">
        <v>97</v>
      </c>
      <c r="C98">
        <v>11</v>
      </c>
      <c r="E98" s="2">
        <v>9</v>
      </c>
      <c r="F98" s="2" t="s">
        <v>52</v>
      </c>
      <c r="G98" t="s">
        <v>278</v>
      </c>
      <c r="H98" t="s">
        <v>279</v>
      </c>
      <c r="J98" s="14">
        <f t="shared" si="5"/>
        <v>101.89999999999999</v>
      </c>
      <c r="K98">
        <v>1300</v>
      </c>
      <c r="N98" t="s">
        <v>61</v>
      </c>
      <c r="Q98" t="s">
        <v>38</v>
      </c>
      <c r="U98">
        <v>3</v>
      </c>
      <c r="W98" t="s">
        <v>280</v>
      </c>
      <c r="X98" t="s">
        <v>40</v>
      </c>
      <c r="Y98" t="s">
        <v>40</v>
      </c>
      <c r="AA98">
        <f t="shared" si="6"/>
        <v>10.19</v>
      </c>
      <c r="AB98" s="22">
        <v>32</v>
      </c>
      <c r="AC98">
        <f t="shared" si="7"/>
        <v>8.0424771931898703E-2</v>
      </c>
      <c r="AI98" t="e">
        <f>IF(Y98="Yes",NA(),#REF!)</f>
        <v>#N/A</v>
      </c>
      <c r="AJ98" t="e">
        <f>IF(Y98="Yes",NA(),#REF!)</f>
        <v>#N/A</v>
      </c>
      <c r="AK98" t="e">
        <f>IF(Y98="Yes",NA(),#REF!)</f>
        <v>#N/A</v>
      </c>
    </row>
    <row r="99" spans="1:37" x14ac:dyDescent="0.35">
      <c r="A99" s="12">
        <v>98</v>
      </c>
      <c r="C99">
        <v>11</v>
      </c>
      <c r="E99" s="2">
        <v>9</v>
      </c>
      <c r="F99" s="2" t="s">
        <v>281</v>
      </c>
      <c r="G99" t="s">
        <v>104</v>
      </c>
      <c r="H99" t="s">
        <v>35</v>
      </c>
      <c r="J99" s="14">
        <f t="shared" ref="J99:J118" si="8">ROUND(AB99/PI(), 2)*10</f>
        <v>192.60000000000002</v>
      </c>
      <c r="K99">
        <v>1300</v>
      </c>
      <c r="N99" t="s">
        <v>54</v>
      </c>
      <c r="Q99">
        <v>5</v>
      </c>
      <c r="U99">
        <v>3</v>
      </c>
      <c r="W99" t="s">
        <v>282</v>
      </c>
      <c r="X99" t="s">
        <v>40</v>
      </c>
      <c r="Y99" t="s">
        <v>40</v>
      </c>
      <c r="AA99">
        <f t="shared" si="6"/>
        <v>19.260000000000002</v>
      </c>
      <c r="AB99" s="22">
        <v>60.5</v>
      </c>
      <c r="AC99">
        <f t="shared" ref="AC99:AC130" si="9">PI()*(AB99/2)*(AB99/2)/10000</f>
        <v>0.28747536275755103</v>
      </c>
      <c r="AI99" t="e">
        <f>IF(Y99="Yes",NA(),#REF!)</f>
        <v>#N/A</v>
      </c>
      <c r="AJ99" t="e">
        <f>IF(Y99="Yes",NA(),#REF!)</f>
        <v>#N/A</v>
      </c>
      <c r="AK99" t="e">
        <f>IF(Y99="Yes",NA(),#REF!)</f>
        <v>#N/A</v>
      </c>
    </row>
    <row r="100" spans="1:37" x14ac:dyDescent="0.35">
      <c r="A100" s="12">
        <v>99</v>
      </c>
      <c r="C100">
        <v>11</v>
      </c>
      <c r="E100" s="23" t="s">
        <v>58</v>
      </c>
      <c r="F100" s="23">
        <v>7</v>
      </c>
      <c r="G100" t="s">
        <v>70</v>
      </c>
      <c r="H100" t="s">
        <v>161</v>
      </c>
      <c r="J100" s="14">
        <f t="shared" si="8"/>
        <v>103.5</v>
      </c>
      <c r="K100">
        <v>1300</v>
      </c>
      <c r="N100" t="s">
        <v>54</v>
      </c>
      <c r="Q100" t="s">
        <v>152</v>
      </c>
      <c r="U100">
        <v>3</v>
      </c>
      <c r="W100" t="s">
        <v>284</v>
      </c>
      <c r="X100" t="s">
        <v>40</v>
      </c>
      <c r="Y100" t="s">
        <v>40</v>
      </c>
      <c r="Z100" t="s">
        <v>285</v>
      </c>
      <c r="AA100">
        <f t="shared" si="6"/>
        <v>10.35</v>
      </c>
      <c r="AB100" s="21">
        <v>32.5</v>
      </c>
      <c r="AC100">
        <f t="shared" si="9"/>
        <v>8.2957681008855463E-2</v>
      </c>
      <c r="AI100" t="e">
        <f>IF(Y100="Yes",NA(),#REF!)</f>
        <v>#N/A</v>
      </c>
      <c r="AJ100" t="e">
        <f>IF(Y100="Yes",NA(),#REF!)</f>
        <v>#N/A</v>
      </c>
      <c r="AK100" t="e">
        <f>IF(Y100="Yes",NA(),#REF!)</f>
        <v>#N/A</v>
      </c>
    </row>
    <row r="101" spans="1:37" x14ac:dyDescent="0.35">
      <c r="A101" s="12">
        <v>100</v>
      </c>
      <c r="C101">
        <v>11</v>
      </c>
      <c r="E101" s="2" t="s">
        <v>58</v>
      </c>
      <c r="F101" s="2" t="s">
        <v>281</v>
      </c>
      <c r="G101" t="s">
        <v>114</v>
      </c>
      <c r="H101" t="s">
        <v>35</v>
      </c>
      <c r="J101" s="14">
        <f t="shared" si="8"/>
        <v>125.7</v>
      </c>
      <c r="K101">
        <v>1300</v>
      </c>
      <c r="N101" t="s">
        <v>54</v>
      </c>
      <c r="Q101" t="s">
        <v>152</v>
      </c>
      <c r="U101">
        <v>4</v>
      </c>
      <c r="W101" t="s">
        <v>286</v>
      </c>
      <c r="X101" t="s">
        <v>40</v>
      </c>
      <c r="Y101" t="s">
        <v>40</v>
      </c>
      <c r="Z101" t="s">
        <v>287</v>
      </c>
      <c r="AA101">
        <f t="shared" si="6"/>
        <v>12.57</v>
      </c>
      <c r="AB101" s="22">
        <v>39.5</v>
      </c>
      <c r="AC101">
        <f t="shared" si="9"/>
        <v>0.12254174844408687</v>
      </c>
      <c r="AI101" t="e">
        <f>IF(Y101="Yes",NA(),#REF!)</f>
        <v>#N/A</v>
      </c>
      <c r="AJ101" t="e">
        <f>IF(Y101="Yes",NA(),#REF!)</f>
        <v>#N/A</v>
      </c>
      <c r="AK101" t="e">
        <f>IF(Y101="Yes",NA(),#REF!)</f>
        <v>#N/A</v>
      </c>
    </row>
    <row r="102" spans="1:37" x14ac:dyDescent="0.35">
      <c r="A102" s="12">
        <v>101</v>
      </c>
      <c r="C102">
        <v>11</v>
      </c>
      <c r="E102" s="2">
        <v>5</v>
      </c>
      <c r="F102" s="2" t="s">
        <v>281</v>
      </c>
      <c r="G102" t="s">
        <v>63</v>
      </c>
      <c r="H102" t="s">
        <v>64</v>
      </c>
      <c r="J102" s="14">
        <f t="shared" si="8"/>
        <v>108.2</v>
      </c>
      <c r="K102">
        <v>1300</v>
      </c>
      <c r="N102" t="s">
        <v>61</v>
      </c>
      <c r="Q102" t="s">
        <v>38</v>
      </c>
      <c r="W102" t="s">
        <v>288</v>
      </c>
      <c r="AA102">
        <f t="shared" si="6"/>
        <v>10.82</v>
      </c>
      <c r="AB102" s="21">
        <v>34</v>
      </c>
      <c r="AC102">
        <f t="shared" si="9"/>
        <v>9.0792027688745031E-2</v>
      </c>
      <c r="AI102" t="e">
        <f>IF(Y102="Yes",NA(),#REF!)</f>
        <v>#REF!</v>
      </c>
      <c r="AJ102" t="e">
        <f>IF(Y102="Yes",NA(),#REF!)</f>
        <v>#REF!</v>
      </c>
      <c r="AK102" t="e">
        <f>IF(Y102="Yes",NA(),#REF!)</f>
        <v>#REF!</v>
      </c>
    </row>
    <row r="103" spans="1:37" x14ac:dyDescent="0.35">
      <c r="A103" s="12">
        <v>102</v>
      </c>
      <c r="C103">
        <v>11</v>
      </c>
      <c r="E103" s="2">
        <v>3</v>
      </c>
      <c r="F103" s="2">
        <v>5</v>
      </c>
      <c r="G103" t="s">
        <v>47</v>
      </c>
      <c r="H103" t="s">
        <v>270</v>
      </c>
      <c r="J103" s="14">
        <f t="shared" si="8"/>
        <v>249.89999999999998</v>
      </c>
      <c r="K103">
        <v>1300</v>
      </c>
      <c r="N103" t="s">
        <v>54</v>
      </c>
      <c r="Q103">
        <v>5</v>
      </c>
      <c r="U103">
        <v>4</v>
      </c>
      <c r="W103" t="s">
        <v>289</v>
      </c>
      <c r="X103" t="s">
        <v>40</v>
      </c>
      <c r="Y103" t="s">
        <v>240</v>
      </c>
      <c r="AA103">
        <f t="shared" si="6"/>
        <v>24.99</v>
      </c>
      <c r="AB103" s="22">
        <v>78.5</v>
      </c>
      <c r="AC103">
        <f t="shared" si="9"/>
        <v>0.48398198323959252</v>
      </c>
      <c r="AI103" t="e">
        <f>IF(Y103="Yes",NA(),#REF!)</f>
        <v>#REF!</v>
      </c>
      <c r="AJ103" t="e">
        <f>IF(Y103="Yes",NA(),#REF!)</f>
        <v>#REF!</v>
      </c>
      <c r="AK103" t="e">
        <f>IF(Y103="Yes",NA(),#REF!)</f>
        <v>#REF!</v>
      </c>
    </row>
    <row r="104" spans="1:37" x14ac:dyDescent="0.35">
      <c r="A104" s="12">
        <v>103</v>
      </c>
      <c r="C104">
        <v>11</v>
      </c>
      <c r="E104" s="2" t="s">
        <v>75</v>
      </c>
      <c r="F104" s="2">
        <v>5</v>
      </c>
      <c r="G104" t="s">
        <v>242</v>
      </c>
      <c r="H104" t="s">
        <v>290</v>
      </c>
      <c r="I104" t="s">
        <v>291</v>
      </c>
      <c r="J104" s="14">
        <f t="shared" si="8"/>
        <v>208.5</v>
      </c>
      <c r="K104">
        <v>1300</v>
      </c>
      <c r="N104" t="s">
        <v>61</v>
      </c>
      <c r="Q104">
        <v>4</v>
      </c>
      <c r="U104">
        <v>5</v>
      </c>
      <c r="W104" t="s">
        <v>292</v>
      </c>
      <c r="X104" s="24" t="s">
        <v>40</v>
      </c>
      <c r="Y104" t="s">
        <v>40</v>
      </c>
      <c r="Z104" t="s">
        <v>293</v>
      </c>
      <c r="AA104">
        <f t="shared" si="6"/>
        <v>20.85</v>
      </c>
      <c r="AB104" s="21">
        <v>65.5</v>
      </c>
      <c r="AC104">
        <f t="shared" si="9"/>
        <v>0.33695544705159025</v>
      </c>
      <c r="AI104" t="e">
        <f>IF(Y104="Yes",NA(),#REF!)</f>
        <v>#N/A</v>
      </c>
      <c r="AJ104" t="e">
        <f>IF(Y104="Yes",NA(),#REF!)</f>
        <v>#N/A</v>
      </c>
      <c r="AK104" t="e">
        <f>IF(Y104="Yes",NA(),#REF!)</f>
        <v>#N/A</v>
      </c>
    </row>
    <row r="105" spans="1:37" x14ac:dyDescent="0.35">
      <c r="A105" s="12">
        <v>104</v>
      </c>
      <c r="C105">
        <v>11</v>
      </c>
      <c r="E105" s="2">
        <v>8</v>
      </c>
      <c r="F105" s="2">
        <v>5</v>
      </c>
      <c r="G105" t="s">
        <v>178</v>
      </c>
      <c r="H105" t="s">
        <v>294</v>
      </c>
      <c r="J105" s="14">
        <f t="shared" si="8"/>
        <v>133.69999999999999</v>
      </c>
      <c r="K105">
        <v>1300</v>
      </c>
      <c r="N105" t="s">
        <v>61</v>
      </c>
      <c r="Q105" t="s">
        <v>38</v>
      </c>
      <c r="W105" t="s">
        <v>295</v>
      </c>
      <c r="X105" t="s">
        <v>40</v>
      </c>
      <c r="Y105" t="s">
        <v>40</v>
      </c>
      <c r="AA105">
        <f t="shared" si="6"/>
        <v>13.37</v>
      </c>
      <c r="AB105" s="22">
        <v>42</v>
      </c>
      <c r="AC105">
        <f t="shared" si="9"/>
        <v>0.1385442360233099</v>
      </c>
      <c r="AI105" t="e">
        <f>IF(Y105="Yes",NA(),#REF!)</f>
        <v>#N/A</v>
      </c>
      <c r="AJ105" t="e">
        <f>IF(Y105="Yes",NA(),#REF!)</f>
        <v>#N/A</v>
      </c>
      <c r="AK105" t="e">
        <f>IF(Y105="Yes",NA(),#REF!)</f>
        <v>#N/A</v>
      </c>
    </row>
    <row r="106" spans="1:37" x14ac:dyDescent="0.35">
      <c r="A106" s="12">
        <v>105</v>
      </c>
      <c r="C106">
        <v>11</v>
      </c>
      <c r="E106" s="2" t="s">
        <v>52</v>
      </c>
      <c r="F106" s="2">
        <v>4</v>
      </c>
      <c r="G106" t="s">
        <v>70</v>
      </c>
      <c r="H106" t="s">
        <v>296</v>
      </c>
      <c r="J106" s="14">
        <f t="shared" si="8"/>
        <v>257.8</v>
      </c>
      <c r="K106">
        <v>1300</v>
      </c>
      <c r="N106" t="s">
        <v>297</v>
      </c>
      <c r="Q106">
        <v>4</v>
      </c>
      <c r="U106">
        <v>3</v>
      </c>
      <c r="W106" t="s">
        <v>298</v>
      </c>
      <c r="X106" t="s">
        <v>40</v>
      </c>
      <c r="Y106" t="s">
        <v>40</v>
      </c>
      <c r="Z106" t="s">
        <v>299</v>
      </c>
      <c r="AA106">
        <f t="shared" si="6"/>
        <v>25.78</v>
      </c>
      <c r="AB106" s="22">
        <v>81</v>
      </c>
      <c r="AC106">
        <f t="shared" si="9"/>
        <v>0.51529973500506576</v>
      </c>
      <c r="AI106" t="e">
        <f>IF(Y106="Yes",NA(),#REF!)</f>
        <v>#N/A</v>
      </c>
      <c r="AJ106" t="e">
        <f>IF(Y106="Yes",NA(),#REF!)</f>
        <v>#N/A</v>
      </c>
      <c r="AK106" t="e">
        <f>IF(Y106="Yes",NA(),#REF!)</f>
        <v>#N/A</v>
      </c>
    </row>
    <row r="107" spans="1:37" x14ac:dyDescent="0.35">
      <c r="A107" s="12">
        <v>106</v>
      </c>
      <c r="C107">
        <v>11</v>
      </c>
      <c r="E107" s="2" t="s">
        <v>281</v>
      </c>
      <c r="F107" s="2">
        <v>4</v>
      </c>
      <c r="G107" t="s">
        <v>89</v>
      </c>
      <c r="H107" t="s">
        <v>90</v>
      </c>
      <c r="I107" t="s">
        <v>300</v>
      </c>
      <c r="J107" s="14">
        <f t="shared" si="8"/>
        <v>112</v>
      </c>
      <c r="K107">
        <v>1300</v>
      </c>
      <c r="N107" t="s">
        <v>54</v>
      </c>
      <c r="Q107">
        <v>1</v>
      </c>
      <c r="U107">
        <v>3</v>
      </c>
      <c r="W107" t="s">
        <v>301</v>
      </c>
      <c r="X107" t="s">
        <v>40</v>
      </c>
      <c r="Y107" t="s">
        <v>40</v>
      </c>
      <c r="AA107">
        <f t="shared" si="6"/>
        <v>11.2</v>
      </c>
      <c r="AB107" s="22">
        <v>35.200000000000003</v>
      </c>
      <c r="AC107">
        <f t="shared" si="9"/>
        <v>9.731397403759745E-2</v>
      </c>
      <c r="AI107" t="e">
        <f>IF(Y107="Yes",NA(),#REF!)</f>
        <v>#N/A</v>
      </c>
      <c r="AJ107" t="e">
        <f>IF(Y107="Yes",NA(),#REF!)</f>
        <v>#N/A</v>
      </c>
      <c r="AK107" t="e">
        <f>IF(Y107="Yes",NA(),#REF!)</f>
        <v>#N/A</v>
      </c>
    </row>
    <row r="108" spans="1:37" x14ac:dyDescent="0.35">
      <c r="A108" s="12">
        <v>107</v>
      </c>
      <c r="C108">
        <v>11</v>
      </c>
      <c r="E108" s="2" t="s">
        <v>52</v>
      </c>
      <c r="F108" s="2" t="s">
        <v>92</v>
      </c>
      <c r="G108" t="s">
        <v>47</v>
      </c>
      <c r="H108" t="s">
        <v>35</v>
      </c>
      <c r="J108" s="14">
        <f t="shared" si="8"/>
        <v>124.1</v>
      </c>
      <c r="K108">
        <v>1300</v>
      </c>
      <c r="N108" t="s">
        <v>54</v>
      </c>
      <c r="Q108" t="s">
        <v>152</v>
      </c>
      <c r="U108">
        <v>3</v>
      </c>
      <c r="W108" t="s">
        <v>302</v>
      </c>
      <c r="X108" t="s">
        <v>40</v>
      </c>
      <c r="Y108" t="s">
        <v>40</v>
      </c>
      <c r="Z108" t="s">
        <v>303</v>
      </c>
      <c r="AA108">
        <f t="shared" si="6"/>
        <v>12.41</v>
      </c>
      <c r="AB108" s="22">
        <v>39</v>
      </c>
      <c r="AC108">
        <f t="shared" si="9"/>
        <v>0.11945906065275187</v>
      </c>
      <c r="AI108" t="e">
        <f>IF(Y108="Yes",NA(),#REF!)</f>
        <v>#N/A</v>
      </c>
      <c r="AJ108" t="e">
        <f>IF(Y108="Yes",NA(),#REF!)</f>
        <v>#N/A</v>
      </c>
      <c r="AK108" t="e">
        <f>IF(Y108="Yes",NA(),#REF!)</f>
        <v>#N/A</v>
      </c>
    </row>
    <row r="109" spans="1:37" x14ac:dyDescent="0.35">
      <c r="A109" s="12">
        <v>108</v>
      </c>
      <c r="C109">
        <v>12</v>
      </c>
      <c r="E109" s="23">
        <v>3</v>
      </c>
      <c r="F109" s="23">
        <v>10</v>
      </c>
      <c r="G109" t="s">
        <v>59</v>
      </c>
      <c r="H109" t="s">
        <v>304</v>
      </c>
      <c r="I109" t="s">
        <v>210</v>
      </c>
      <c r="J109" s="14">
        <f t="shared" si="8"/>
        <v>186.20000000000002</v>
      </c>
      <c r="K109">
        <v>1300</v>
      </c>
      <c r="N109" t="s">
        <v>81</v>
      </c>
      <c r="Q109" t="s">
        <v>259</v>
      </c>
      <c r="U109">
        <v>3</v>
      </c>
      <c r="W109" t="s">
        <v>305</v>
      </c>
      <c r="X109" t="s">
        <v>40</v>
      </c>
      <c r="Y109" t="s">
        <v>40</v>
      </c>
      <c r="Z109" t="s">
        <v>306</v>
      </c>
      <c r="AA109">
        <f t="shared" si="6"/>
        <v>18.62</v>
      </c>
      <c r="AB109" s="21">
        <v>58.5</v>
      </c>
      <c r="AC109">
        <f t="shared" si="9"/>
        <v>0.26878288646869175</v>
      </c>
      <c r="AI109" t="e">
        <f>IF(Y109="Yes",NA(),#REF!)</f>
        <v>#N/A</v>
      </c>
      <c r="AJ109" t="e">
        <f>IF(Y109="Yes",NA(),#REF!)</f>
        <v>#N/A</v>
      </c>
      <c r="AK109" t="e">
        <f>IF(Y109="Yes",NA(),#REF!)</f>
        <v>#N/A</v>
      </c>
    </row>
    <row r="110" spans="1:37" x14ac:dyDescent="0.35">
      <c r="A110" s="12">
        <v>109</v>
      </c>
      <c r="C110">
        <v>12</v>
      </c>
      <c r="E110" s="2" t="s">
        <v>111</v>
      </c>
      <c r="F110" s="2">
        <v>10</v>
      </c>
      <c r="G110" t="s">
        <v>114</v>
      </c>
      <c r="H110" t="s">
        <v>35</v>
      </c>
      <c r="I110" t="s">
        <v>307</v>
      </c>
      <c r="J110" s="14">
        <f t="shared" si="8"/>
        <v>108.2</v>
      </c>
      <c r="K110">
        <v>1300</v>
      </c>
      <c r="N110" t="s">
        <v>308</v>
      </c>
      <c r="Q110" t="s">
        <v>134</v>
      </c>
      <c r="W110" t="s">
        <v>309</v>
      </c>
      <c r="X110" t="s">
        <v>40</v>
      </c>
      <c r="Y110" t="s">
        <v>40</v>
      </c>
      <c r="AA110">
        <f t="shared" si="6"/>
        <v>10.82</v>
      </c>
      <c r="AB110" s="22">
        <v>34</v>
      </c>
      <c r="AC110">
        <f t="shared" si="9"/>
        <v>9.0792027688745031E-2</v>
      </c>
      <c r="AI110" t="e">
        <f>IF(Y110="Yes",NA(),#REF!)</f>
        <v>#N/A</v>
      </c>
      <c r="AJ110" t="e">
        <f>IF(Y110="Yes",NA(),#REF!)</f>
        <v>#N/A</v>
      </c>
      <c r="AK110" t="e">
        <f>IF(Y110="Yes",NA(),#REF!)</f>
        <v>#N/A</v>
      </c>
    </row>
    <row r="111" spans="1:37" x14ac:dyDescent="0.35">
      <c r="A111" s="12">
        <v>110</v>
      </c>
      <c r="C111">
        <v>12</v>
      </c>
      <c r="E111" s="2" t="s">
        <v>111</v>
      </c>
      <c r="F111" s="2" t="s">
        <v>51</v>
      </c>
      <c r="G111" t="s">
        <v>145</v>
      </c>
      <c r="H111" t="s">
        <v>310</v>
      </c>
      <c r="J111" s="14">
        <f t="shared" si="8"/>
        <v>162.69999999999999</v>
      </c>
      <c r="K111">
        <v>1300</v>
      </c>
      <c r="N111" t="s">
        <v>54</v>
      </c>
      <c r="Q111" t="s">
        <v>38</v>
      </c>
      <c r="U111">
        <v>3</v>
      </c>
      <c r="W111" t="s">
        <v>311</v>
      </c>
      <c r="X111" t="s">
        <v>40</v>
      </c>
      <c r="Y111" t="s">
        <v>40</v>
      </c>
      <c r="Z111" t="s">
        <v>312</v>
      </c>
      <c r="AA111">
        <f t="shared" si="6"/>
        <v>16.27</v>
      </c>
      <c r="AB111" s="22">
        <v>51.1</v>
      </c>
      <c r="AC111">
        <f t="shared" si="9"/>
        <v>0.20508395382450512</v>
      </c>
      <c r="AI111" t="e">
        <f>IF(Y111="Yes",NA(),#REF!)</f>
        <v>#N/A</v>
      </c>
      <c r="AJ111" t="e">
        <f>IF(Y111="Yes",NA(),#REF!)</f>
        <v>#N/A</v>
      </c>
      <c r="AK111" t="e">
        <f>IF(Y111="Yes",NA(),#REF!)</f>
        <v>#N/A</v>
      </c>
    </row>
    <row r="112" spans="1:37" x14ac:dyDescent="0.35">
      <c r="A112" s="12">
        <v>111</v>
      </c>
      <c r="C112">
        <v>12</v>
      </c>
      <c r="E112" s="2">
        <v>7</v>
      </c>
      <c r="F112" s="2">
        <v>8</v>
      </c>
      <c r="G112" t="s">
        <v>34</v>
      </c>
      <c r="H112" t="s">
        <v>313</v>
      </c>
      <c r="I112" t="s">
        <v>314</v>
      </c>
      <c r="J112" s="14">
        <f t="shared" si="8"/>
        <v>135.6</v>
      </c>
      <c r="K112">
        <v>1300</v>
      </c>
      <c r="N112" t="s">
        <v>54</v>
      </c>
      <c r="Q112" t="s">
        <v>315</v>
      </c>
      <c r="U112">
        <v>2</v>
      </c>
      <c r="W112" t="s">
        <v>316</v>
      </c>
      <c r="X112" t="s">
        <v>40</v>
      </c>
      <c r="Y112" t="s">
        <v>40</v>
      </c>
      <c r="Z112" t="s">
        <v>317</v>
      </c>
      <c r="AA112">
        <f t="shared" si="6"/>
        <v>13.56</v>
      </c>
      <c r="AB112" s="22">
        <v>42.6</v>
      </c>
      <c r="AC112">
        <f t="shared" si="9"/>
        <v>0.14253091710071536</v>
      </c>
      <c r="AI112" t="e">
        <f>IF(Y112="Yes",NA(),#REF!)</f>
        <v>#N/A</v>
      </c>
      <c r="AJ112" t="e">
        <f>IF(Y112="Yes",NA(),#REF!)</f>
        <v>#N/A</v>
      </c>
      <c r="AK112" t="e">
        <f>IF(Y112="Yes",NA(),#REF!)</f>
        <v>#N/A</v>
      </c>
    </row>
    <row r="113" spans="1:37" x14ac:dyDescent="0.35">
      <c r="A113" s="12">
        <v>112</v>
      </c>
      <c r="C113">
        <v>12</v>
      </c>
      <c r="E113" s="2" t="s">
        <v>58</v>
      </c>
      <c r="F113" s="2" t="s">
        <v>58</v>
      </c>
      <c r="G113" t="s">
        <v>42</v>
      </c>
      <c r="H113" t="s">
        <v>577</v>
      </c>
      <c r="J113" s="14">
        <f t="shared" si="8"/>
        <v>243.2</v>
      </c>
      <c r="K113">
        <v>1300</v>
      </c>
      <c r="N113" t="s">
        <v>61</v>
      </c>
      <c r="Q113">
        <v>5</v>
      </c>
      <c r="U113">
        <v>3</v>
      </c>
      <c r="W113" t="s">
        <v>318</v>
      </c>
      <c r="X113" t="s">
        <v>40</v>
      </c>
      <c r="Y113" t="s">
        <v>40</v>
      </c>
      <c r="Z113" t="s">
        <v>319</v>
      </c>
      <c r="AA113">
        <f t="shared" si="6"/>
        <v>24.32</v>
      </c>
      <c r="AB113" s="22">
        <v>76.400000000000006</v>
      </c>
      <c r="AC113">
        <f t="shared" si="9"/>
        <v>0.4584337663824371</v>
      </c>
      <c r="AI113" t="e">
        <f>IF(Y113="Yes",NA(),#REF!)</f>
        <v>#N/A</v>
      </c>
      <c r="AJ113" t="e">
        <f>IF(Y113="Yes",NA(),#REF!)</f>
        <v>#N/A</v>
      </c>
      <c r="AK113" t="e">
        <f>IF(Y113="Yes",NA(),#REF!)</f>
        <v>#N/A</v>
      </c>
    </row>
    <row r="114" spans="1:37" x14ac:dyDescent="0.35">
      <c r="A114" s="12">
        <v>113</v>
      </c>
      <c r="C114">
        <v>12</v>
      </c>
      <c r="E114" s="2">
        <v>9</v>
      </c>
      <c r="F114" s="2" t="s">
        <v>79</v>
      </c>
      <c r="G114" t="s">
        <v>42</v>
      </c>
      <c r="H114" t="s">
        <v>320</v>
      </c>
      <c r="J114" s="14">
        <f t="shared" si="8"/>
        <v>172.5</v>
      </c>
      <c r="K114">
        <v>1300</v>
      </c>
      <c r="N114" t="s">
        <v>54</v>
      </c>
      <c r="Q114" t="s">
        <v>38</v>
      </c>
      <c r="U114">
        <v>5</v>
      </c>
      <c r="W114" t="s">
        <v>321</v>
      </c>
      <c r="X114" t="s">
        <v>40</v>
      </c>
      <c r="Y114" t="s">
        <v>40</v>
      </c>
      <c r="Z114" t="s">
        <v>322</v>
      </c>
      <c r="AA114">
        <f t="shared" si="6"/>
        <v>17.25</v>
      </c>
      <c r="AB114" s="22">
        <v>54.2</v>
      </c>
      <c r="AC114">
        <f t="shared" si="9"/>
        <v>0.23072170607228801</v>
      </c>
      <c r="AI114" t="e">
        <f>IF(Y114="Yes",NA(),#REF!)</f>
        <v>#N/A</v>
      </c>
      <c r="AJ114" t="e">
        <f>IF(Y114="Yes",NA(),#REF!)</f>
        <v>#N/A</v>
      </c>
      <c r="AK114" t="e">
        <f>IF(Y114="Yes",NA(),#REF!)</f>
        <v>#N/A</v>
      </c>
    </row>
    <row r="115" spans="1:37" x14ac:dyDescent="0.35">
      <c r="A115" s="12">
        <v>114</v>
      </c>
      <c r="C115">
        <v>12</v>
      </c>
      <c r="E115" s="23">
        <v>7</v>
      </c>
      <c r="F115" s="23" t="s">
        <v>33</v>
      </c>
      <c r="G115" t="s">
        <v>66</v>
      </c>
      <c r="H115" t="s">
        <v>323</v>
      </c>
      <c r="I115" t="s">
        <v>324</v>
      </c>
      <c r="J115" s="14">
        <f t="shared" si="8"/>
        <v>181.4</v>
      </c>
      <c r="K115">
        <v>1600</v>
      </c>
      <c r="N115" t="s">
        <v>297</v>
      </c>
      <c r="Q115">
        <v>5</v>
      </c>
      <c r="U115">
        <v>3</v>
      </c>
      <c r="W115" t="s">
        <v>325</v>
      </c>
      <c r="X115" t="s">
        <v>40</v>
      </c>
      <c r="Y115" t="s">
        <v>40</v>
      </c>
      <c r="Z115" t="s">
        <v>326</v>
      </c>
      <c r="AA115">
        <f t="shared" si="6"/>
        <v>18.14</v>
      </c>
      <c r="AB115" s="21">
        <v>57</v>
      </c>
      <c r="AC115">
        <f t="shared" si="9"/>
        <v>0.25517586328783093</v>
      </c>
      <c r="AI115" t="e">
        <f>IF(Y115="Yes",NA(),#REF!)</f>
        <v>#N/A</v>
      </c>
      <c r="AJ115" t="e">
        <f>IF(Y115="Yes",NA(),#REF!)</f>
        <v>#N/A</v>
      </c>
      <c r="AK115" t="e">
        <f>IF(Y115="Yes",NA(),#REF!)</f>
        <v>#N/A</v>
      </c>
    </row>
    <row r="116" spans="1:37" x14ac:dyDescent="0.35">
      <c r="A116" s="12">
        <v>115</v>
      </c>
      <c r="C116">
        <v>12</v>
      </c>
      <c r="E116" s="2">
        <v>5</v>
      </c>
      <c r="F116" s="2" t="s">
        <v>92</v>
      </c>
      <c r="G116" t="s">
        <v>47</v>
      </c>
      <c r="H116" t="s">
        <v>270</v>
      </c>
      <c r="J116" s="14">
        <f t="shared" si="8"/>
        <v>246.1</v>
      </c>
      <c r="K116">
        <v>1300</v>
      </c>
      <c r="N116" t="s">
        <v>54</v>
      </c>
      <c r="Q116">
        <v>5</v>
      </c>
      <c r="U116">
        <v>5</v>
      </c>
      <c r="W116" t="s">
        <v>327</v>
      </c>
      <c r="X116" t="s">
        <v>40</v>
      </c>
      <c r="Y116" t="s">
        <v>40</v>
      </c>
      <c r="AA116">
        <f t="shared" si="6"/>
        <v>24.61</v>
      </c>
      <c r="AB116" s="22">
        <v>77.3</v>
      </c>
      <c r="AC116">
        <f t="shared" si="9"/>
        <v>0.46929817917671379</v>
      </c>
      <c r="AI116" t="e">
        <f>IF(Y116="Yes",NA(),#REF!)</f>
        <v>#N/A</v>
      </c>
      <c r="AJ116" t="e">
        <f>IF(Y116="Yes",NA(),#REF!)</f>
        <v>#N/A</v>
      </c>
      <c r="AK116" t="e">
        <f>IF(Y116="Yes",NA(),#REF!)</f>
        <v>#N/A</v>
      </c>
    </row>
    <row r="117" spans="1:37" x14ac:dyDescent="0.35">
      <c r="A117" s="12">
        <v>116</v>
      </c>
      <c r="C117">
        <v>12</v>
      </c>
      <c r="E117" s="2">
        <v>3</v>
      </c>
      <c r="F117" s="2">
        <v>3</v>
      </c>
      <c r="G117" t="s">
        <v>47</v>
      </c>
      <c r="H117" t="s">
        <v>328</v>
      </c>
      <c r="J117" s="14">
        <f t="shared" si="8"/>
        <v>243.5</v>
      </c>
      <c r="K117">
        <v>1600</v>
      </c>
      <c r="N117" t="s">
        <v>54</v>
      </c>
      <c r="Q117">
        <v>4</v>
      </c>
      <c r="U117">
        <v>5</v>
      </c>
      <c r="W117" t="s">
        <v>329</v>
      </c>
      <c r="X117" t="s">
        <v>40</v>
      </c>
      <c r="Y117" t="s">
        <v>40</v>
      </c>
      <c r="AA117">
        <f t="shared" si="6"/>
        <v>24.35</v>
      </c>
      <c r="AB117" s="22">
        <v>76.5</v>
      </c>
      <c r="AC117">
        <f t="shared" si="9"/>
        <v>0.45963464017427169</v>
      </c>
      <c r="AI117" t="e">
        <f>IF(Y117="Yes",NA(),#REF!)</f>
        <v>#N/A</v>
      </c>
      <c r="AJ117" t="e">
        <f>IF(Y117="Yes",NA(),#REF!)</f>
        <v>#N/A</v>
      </c>
      <c r="AK117" t="e">
        <f>IF(Y117="Yes",NA(),#REF!)</f>
        <v>#N/A</v>
      </c>
    </row>
    <row r="118" spans="1:37" x14ac:dyDescent="0.35">
      <c r="A118" s="12">
        <v>117</v>
      </c>
      <c r="C118">
        <v>13</v>
      </c>
      <c r="E118" s="2">
        <v>3</v>
      </c>
      <c r="F118" s="2">
        <v>10</v>
      </c>
      <c r="G118" t="s">
        <v>70</v>
      </c>
      <c r="H118" t="s">
        <v>161</v>
      </c>
      <c r="I118" t="s">
        <v>330</v>
      </c>
      <c r="J118" s="14">
        <f t="shared" si="8"/>
        <v>227.60000000000002</v>
      </c>
      <c r="K118">
        <v>1300</v>
      </c>
      <c r="N118" t="s">
        <v>61</v>
      </c>
      <c r="Q118">
        <v>4</v>
      </c>
      <c r="U118">
        <v>3</v>
      </c>
      <c r="W118" t="s">
        <v>331</v>
      </c>
      <c r="X118" t="s">
        <v>40</v>
      </c>
      <c r="Y118" t="s">
        <v>40</v>
      </c>
      <c r="Z118" t="s">
        <v>332</v>
      </c>
      <c r="AA118">
        <f t="shared" si="6"/>
        <v>22.76</v>
      </c>
      <c r="AB118" s="22">
        <v>71.5</v>
      </c>
      <c r="AC118">
        <f t="shared" si="9"/>
        <v>0.40151517608286047</v>
      </c>
      <c r="AI118" t="e">
        <f>IF(Y118="Yes",NA(),#REF!)</f>
        <v>#N/A</v>
      </c>
      <c r="AJ118" t="e">
        <f>IF(Y118="Yes",NA(),#REF!)</f>
        <v>#N/A</v>
      </c>
      <c r="AK118" t="e">
        <f>IF(Y118="Yes",NA(),#REF!)</f>
        <v>#N/A</v>
      </c>
    </row>
    <row r="119" spans="1:37" x14ac:dyDescent="0.35">
      <c r="A119" s="12">
        <v>118</v>
      </c>
      <c r="C119">
        <v>13</v>
      </c>
      <c r="E119" s="2" t="s">
        <v>111</v>
      </c>
      <c r="F119" s="2">
        <v>9</v>
      </c>
      <c r="G119" t="s">
        <v>333</v>
      </c>
      <c r="H119" t="s">
        <v>334</v>
      </c>
      <c r="J119" s="14">
        <v>122.5</v>
      </c>
      <c r="K119">
        <v>1300</v>
      </c>
      <c r="N119" t="s">
        <v>61</v>
      </c>
      <c r="Q119" t="s">
        <v>38</v>
      </c>
      <c r="U119">
        <v>4</v>
      </c>
      <c r="W119" t="s">
        <v>335</v>
      </c>
      <c r="X119" t="s">
        <v>40</v>
      </c>
      <c r="Y119" t="s">
        <v>40</v>
      </c>
      <c r="Z119" t="s">
        <v>336</v>
      </c>
      <c r="AA119">
        <f t="shared" si="6"/>
        <v>12.25</v>
      </c>
      <c r="AB119" s="22" t="s">
        <v>337</v>
      </c>
      <c r="AC119">
        <f t="shared" si="9"/>
        <v>0.11641564276958677</v>
      </c>
      <c r="AI119" t="e">
        <f>IF(Y119="Yes",NA(),#REF!)</f>
        <v>#N/A</v>
      </c>
      <c r="AJ119" t="e">
        <f>IF(Y119="Yes",NA(),#REF!)</f>
        <v>#N/A</v>
      </c>
      <c r="AK119" t="e">
        <f>IF(Y119="Yes",NA(),#REF!)</f>
        <v>#N/A</v>
      </c>
    </row>
    <row r="120" spans="1:37" x14ac:dyDescent="0.35">
      <c r="A120" s="12">
        <v>119</v>
      </c>
      <c r="C120">
        <v>13</v>
      </c>
      <c r="E120" s="2">
        <v>9</v>
      </c>
      <c r="F120" s="2" t="s">
        <v>281</v>
      </c>
      <c r="G120" t="s">
        <v>63</v>
      </c>
      <c r="H120" t="s">
        <v>64</v>
      </c>
      <c r="J120" s="14">
        <f t="shared" ref="J120:J183" si="10">ROUND(AB120/PI(), 2)*10</f>
        <v>144.5</v>
      </c>
      <c r="K120">
        <v>1300</v>
      </c>
      <c r="N120" t="s">
        <v>54</v>
      </c>
      <c r="Q120">
        <v>5</v>
      </c>
      <c r="W120" t="s">
        <v>338</v>
      </c>
      <c r="AA120">
        <f t="shared" si="6"/>
        <v>14.45</v>
      </c>
      <c r="AB120" s="21">
        <v>45.4</v>
      </c>
      <c r="AC120">
        <f t="shared" si="9"/>
        <v>0.16188312784682843</v>
      </c>
      <c r="AI120" t="e">
        <f>IF(Y120="Yes",NA(),#REF!)</f>
        <v>#REF!</v>
      </c>
      <c r="AJ120" t="e">
        <f>IF(Y120="Yes",NA(),#REF!)</f>
        <v>#REF!</v>
      </c>
      <c r="AK120" t="e">
        <f>IF(Y120="Yes",NA(),#REF!)</f>
        <v>#REF!</v>
      </c>
    </row>
    <row r="121" spans="1:37" x14ac:dyDescent="0.35">
      <c r="A121" s="12">
        <v>120</v>
      </c>
      <c r="C121">
        <v>13</v>
      </c>
      <c r="E121" s="2">
        <v>9</v>
      </c>
      <c r="F121" s="2">
        <v>6</v>
      </c>
      <c r="G121" t="s">
        <v>63</v>
      </c>
      <c r="H121" t="s">
        <v>64</v>
      </c>
      <c r="J121" s="14">
        <f t="shared" si="10"/>
        <v>109.2</v>
      </c>
      <c r="K121">
        <v>1300</v>
      </c>
      <c r="N121" t="s">
        <v>54</v>
      </c>
      <c r="Q121" t="s">
        <v>38</v>
      </c>
      <c r="W121" t="s">
        <v>339</v>
      </c>
      <c r="AA121">
        <f t="shared" si="6"/>
        <v>10.92</v>
      </c>
      <c r="AB121" s="21">
        <v>34.299999999999997</v>
      </c>
      <c r="AC121">
        <f t="shared" si="9"/>
        <v>9.2401308525546372E-2</v>
      </c>
      <c r="AI121" t="e">
        <f>IF(Y121="Yes",NA(),#REF!)</f>
        <v>#REF!</v>
      </c>
      <c r="AJ121" t="e">
        <f>IF(Y121="Yes",NA(),#REF!)</f>
        <v>#REF!</v>
      </c>
      <c r="AK121" t="e">
        <f>IF(Y121="Yes",NA(),#REF!)</f>
        <v>#REF!</v>
      </c>
    </row>
    <row r="122" spans="1:37" x14ac:dyDescent="0.35">
      <c r="A122" s="12">
        <v>121</v>
      </c>
      <c r="C122">
        <v>13</v>
      </c>
      <c r="E122" s="2">
        <v>3</v>
      </c>
      <c r="F122" s="2">
        <v>4</v>
      </c>
      <c r="G122" t="s">
        <v>34</v>
      </c>
      <c r="H122" t="s">
        <v>35</v>
      </c>
      <c r="I122" t="s">
        <v>228</v>
      </c>
      <c r="J122" s="14">
        <f t="shared" si="10"/>
        <v>138.1</v>
      </c>
      <c r="K122">
        <v>1300</v>
      </c>
      <c r="N122" t="s">
        <v>37</v>
      </c>
      <c r="Q122">
        <v>4</v>
      </c>
      <c r="U122">
        <v>3</v>
      </c>
      <c r="W122" t="s">
        <v>340</v>
      </c>
      <c r="X122" t="s">
        <v>40</v>
      </c>
      <c r="Y122" t="s">
        <v>40</v>
      </c>
      <c r="AA122">
        <f t="shared" si="6"/>
        <v>13.81</v>
      </c>
      <c r="AB122" s="22">
        <v>43.4</v>
      </c>
      <c r="AC122">
        <f t="shared" si="9"/>
        <v>0.14793445646488976</v>
      </c>
      <c r="AI122" t="e">
        <f>IF(Y122="Yes",NA(),#REF!)</f>
        <v>#N/A</v>
      </c>
      <c r="AJ122" t="e">
        <f>IF(Y122="Yes",NA(),#REF!)</f>
        <v>#N/A</v>
      </c>
      <c r="AK122" t="e">
        <f>IF(Y122="Yes",NA(),#REF!)</f>
        <v>#N/A</v>
      </c>
    </row>
    <row r="123" spans="1:37" x14ac:dyDescent="0.35">
      <c r="A123" s="12">
        <v>122</v>
      </c>
      <c r="C123">
        <v>13</v>
      </c>
      <c r="E123" s="2">
        <v>2</v>
      </c>
      <c r="F123" s="2">
        <v>4</v>
      </c>
      <c r="G123" t="s">
        <v>114</v>
      </c>
      <c r="H123" t="s">
        <v>35</v>
      </c>
      <c r="I123" t="s">
        <v>228</v>
      </c>
      <c r="J123" s="14">
        <f t="shared" si="10"/>
        <v>116.5</v>
      </c>
      <c r="K123">
        <v>1300</v>
      </c>
      <c r="N123" t="s">
        <v>37</v>
      </c>
      <c r="Q123" t="s">
        <v>38</v>
      </c>
      <c r="U123">
        <v>3</v>
      </c>
      <c r="W123" t="s">
        <v>341</v>
      </c>
      <c r="X123" t="s">
        <v>40</v>
      </c>
      <c r="Y123" t="s">
        <v>40</v>
      </c>
      <c r="AA123">
        <f t="shared" si="6"/>
        <v>11.65</v>
      </c>
      <c r="AB123" s="22">
        <v>36.6</v>
      </c>
      <c r="AC123">
        <f t="shared" si="9"/>
        <v>0.10520879637606859</v>
      </c>
      <c r="AI123" t="e">
        <f>IF(Y123="Yes",NA(),#REF!)</f>
        <v>#N/A</v>
      </c>
      <c r="AJ123" t="e">
        <f>IF(Y123="Yes",NA(),#REF!)</f>
        <v>#N/A</v>
      </c>
      <c r="AK123" t="e">
        <f>IF(Y123="Yes",NA(),#REF!)</f>
        <v>#N/A</v>
      </c>
    </row>
    <row r="124" spans="1:37" x14ac:dyDescent="0.35">
      <c r="A124" s="12">
        <v>123</v>
      </c>
      <c r="C124">
        <v>13</v>
      </c>
      <c r="E124" s="23" t="s">
        <v>201</v>
      </c>
      <c r="F124" s="23">
        <v>4</v>
      </c>
      <c r="G124" t="s">
        <v>213</v>
      </c>
      <c r="H124" t="s">
        <v>342</v>
      </c>
      <c r="I124" t="s">
        <v>228</v>
      </c>
      <c r="J124" s="14">
        <f t="shared" si="10"/>
        <v>199.3</v>
      </c>
      <c r="K124">
        <v>1300</v>
      </c>
      <c r="N124" t="s">
        <v>37</v>
      </c>
      <c r="Q124">
        <v>5</v>
      </c>
      <c r="U124">
        <v>3</v>
      </c>
      <c r="W124" t="s">
        <v>343</v>
      </c>
      <c r="X124" t="s">
        <v>40</v>
      </c>
      <c r="Y124" t="s">
        <v>40</v>
      </c>
      <c r="AA124">
        <f t="shared" si="6"/>
        <v>19.93</v>
      </c>
      <c r="AB124" s="21">
        <v>62.6</v>
      </c>
      <c r="AC124">
        <f t="shared" si="9"/>
        <v>0.3077786906795385</v>
      </c>
      <c r="AI124" t="e">
        <f>IF(Y124="Yes",NA(),#REF!)</f>
        <v>#N/A</v>
      </c>
      <c r="AJ124" t="e">
        <f>IF(Y124="Yes",NA(),#REF!)</f>
        <v>#N/A</v>
      </c>
      <c r="AK124" t="e">
        <f>IF(Y124="Yes",NA(),#REF!)</f>
        <v>#N/A</v>
      </c>
    </row>
    <row r="125" spans="1:37" x14ac:dyDescent="0.35">
      <c r="A125" s="12">
        <v>124</v>
      </c>
      <c r="C125">
        <v>14</v>
      </c>
      <c r="E125" s="2" t="s">
        <v>174</v>
      </c>
      <c r="F125" s="2" t="s">
        <v>58</v>
      </c>
      <c r="G125" t="s">
        <v>63</v>
      </c>
      <c r="H125" t="s">
        <v>64</v>
      </c>
      <c r="J125" s="14">
        <f t="shared" si="10"/>
        <v>122.2</v>
      </c>
      <c r="K125">
        <v>1300</v>
      </c>
      <c r="N125" t="s">
        <v>61</v>
      </c>
      <c r="Q125">
        <v>4</v>
      </c>
      <c r="W125" t="s">
        <v>344</v>
      </c>
      <c r="AA125">
        <f t="shared" si="6"/>
        <v>12.22</v>
      </c>
      <c r="AB125" s="21">
        <v>38.4</v>
      </c>
      <c r="AC125">
        <f t="shared" si="9"/>
        <v>0.11581167158193414</v>
      </c>
      <c r="AI125" t="e">
        <f>IF(Y125="Yes",NA(),#REF!)</f>
        <v>#REF!</v>
      </c>
      <c r="AJ125" t="e">
        <f>IF(Y125="Yes",NA(),#REF!)</f>
        <v>#REF!</v>
      </c>
      <c r="AK125" t="e">
        <f>IF(Y125="Yes",NA(),#REF!)</f>
        <v>#REF!</v>
      </c>
    </row>
    <row r="126" spans="1:37" x14ac:dyDescent="0.35">
      <c r="A126" s="12">
        <v>125</v>
      </c>
      <c r="C126">
        <v>14</v>
      </c>
      <c r="E126" s="23" t="s">
        <v>174</v>
      </c>
      <c r="F126" s="23" t="s">
        <v>52</v>
      </c>
      <c r="G126" t="s">
        <v>70</v>
      </c>
      <c r="H126" t="s">
        <v>283</v>
      </c>
      <c r="J126" s="14">
        <f t="shared" si="10"/>
        <v>201.5</v>
      </c>
      <c r="K126">
        <v>1300</v>
      </c>
      <c r="N126" t="s">
        <v>61</v>
      </c>
      <c r="Q126" t="s">
        <v>38</v>
      </c>
      <c r="U126">
        <v>5</v>
      </c>
      <c r="W126" t="s">
        <v>345</v>
      </c>
      <c r="X126" t="s">
        <v>40</v>
      </c>
      <c r="Y126" t="s">
        <v>40</v>
      </c>
      <c r="Z126" t="s">
        <v>346</v>
      </c>
      <c r="AA126">
        <f t="shared" si="6"/>
        <v>20.149999999999999</v>
      </c>
      <c r="AB126" s="21">
        <v>63.3</v>
      </c>
      <c r="AC126">
        <f t="shared" si="9"/>
        <v>0.31470040469356014</v>
      </c>
      <c r="AI126" t="e">
        <f>IF(Y126="Yes",NA(),#REF!)</f>
        <v>#N/A</v>
      </c>
      <c r="AJ126" t="e">
        <f>IF(Y126="Yes",NA(),#REF!)</f>
        <v>#N/A</v>
      </c>
      <c r="AK126" t="e">
        <f>IF(Y126="Yes",NA(),#REF!)</f>
        <v>#N/A</v>
      </c>
    </row>
    <row r="127" spans="1:37" x14ac:dyDescent="0.35">
      <c r="A127" s="12">
        <v>126</v>
      </c>
      <c r="C127">
        <v>14</v>
      </c>
      <c r="E127" s="2">
        <v>3</v>
      </c>
      <c r="F127" s="2" t="s">
        <v>52</v>
      </c>
      <c r="G127" t="s">
        <v>63</v>
      </c>
      <c r="H127" t="s">
        <v>64</v>
      </c>
      <c r="J127" s="14">
        <f t="shared" si="10"/>
        <v>115.19999999999999</v>
      </c>
      <c r="K127">
        <v>1300</v>
      </c>
      <c r="N127" t="s">
        <v>54</v>
      </c>
      <c r="Q127">
        <v>4</v>
      </c>
      <c r="W127" t="s">
        <v>347</v>
      </c>
      <c r="AA127">
        <f t="shared" si="6"/>
        <v>11.52</v>
      </c>
      <c r="AB127" s="21">
        <v>36.200000000000003</v>
      </c>
      <c r="AC127">
        <f t="shared" si="9"/>
        <v>0.10292171692425522</v>
      </c>
      <c r="AI127" t="e">
        <f>IF(Y127="Yes",NA(),#REF!)</f>
        <v>#REF!</v>
      </c>
      <c r="AJ127" t="e">
        <f>IF(Y127="Yes",NA(),#REF!)</f>
        <v>#REF!</v>
      </c>
      <c r="AK127" t="e">
        <f>IF(Y127="Yes",NA(),#REF!)</f>
        <v>#REF!</v>
      </c>
    </row>
    <row r="128" spans="1:37" x14ac:dyDescent="0.35">
      <c r="A128" s="12">
        <v>127</v>
      </c>
      <c r="C128">
        <v>14</v>
      </c>
      <c r="E128" s="2">
        <v>8</v>
      </c>
      <c r="F128" s="2" t="s">
        <v>52</v>
      </c>
      <c r="G128" t="s">
        <v>213</v>
      </c>
      <c r="H128" t="s">
        <v>348</v>
      </c>
      <c r="J128" s="14">
        <f t="shared" si="10"/>
        <v>163.9</v>
      </c>
      <c r="K128">
        <v>1300</v>
      </c>
      <c r="N128" t="s">
        <v>54</v>
      </c>
      <c r="Q128" t="s">
        <v>38</v>
      </c>
      <c r="U128">
        <v>3</v>
      </c>
      <c r="W128" t="s">
        <v>349</v>
      </c>
      <c r="X128" t="s">
        <v>40</v>
      </c>
      <c r="Y128" t="s">
        <v>40</v>
      </c>
      <c r="AA128">
        <f t="shared" si="6"/>
        <v>16.39</v>
      </c>
      <c r="AB128" s="21">
        <v>51.5</v>
      </c>
      <c r="AC128">
        <f t="shared" si="9"/>
        <v>0.20830722788708822</v>
      </c>
      <c r="AI128" t="e">
        <f>IF(Y128="Yes",NA(),#REF!)</f>
        <v>#N/A</v>
      </c>
      <c r="AJ128" t="e">
        <f>IF(Y128="Yes",NA(),#REF!)</f>
        <v>#N/A</v>
      </c>
      <c r="AK128" t="e">
        <f>IF(Y128="Yes",NA(),#REF!)</f>
        <v>#N/A</v>
      </c>
    </row>
    <row r="129" spans="1:37" x14ac:dyDescent="0.35">
      <c r="A129" s="12">
        <v>128</v>
      </c>
      <c r="C129">
        <v>14</v>
      </c>
      <c r="E129" s="2">
        <v>8</v>
      </c>
      <c r="F129" s="2" t="s">
        <v>350</v>
      </c>
      <c r="G129" t="s">
        <v>34</v>
      </c>
      <c r="H129" t="s">
        <v>35</v>
      </c>
      <c r="J129" s="14">
        <f t="shared" si="10"/>
        <v>163.6</v>
      </c>
      <c r="K129">
        <v>1300</v>
      </c>
      <c r="N129" t="s">
        <v>54</v>
      </c>
      <c r="Q129">
        <v>4</v>
      </c>
      <c r="W129" t="s">
        <v>351</v>
      </c>
      <c r="X129" t="s">
        <v>40</v>
      </c>
      <c r="Y129" t="s">
        <v>40</v>
      </c>
      <c r="AA129">
        <f t="shared" si="6"/>
        <v>16.36</v>
      </c>
      <c r="AB129" s="22">
        <v>51.4</v>
      </c>
      <c r="AC129">
        <f t="shared" si="9"/>
        <v>0.20749905317695225</v>
      </c>
      <c r="AI129" t="e">
        <f>IF(Y129="Yes",NA(),#REF!)</f>
        <v>#N/A</v>
      </c>
      <c r="AJ129" t="e">
        <f>IF(Y129="Yes",NA(),#REF!)</f>
        <v>#N/A</v>
      </c>
      <c r="AK129" t="e">
        <f>IF(Y129="Yes",NA(),#REF!)</f>
        <v>#N/A</v>
      </c>
    </row>
    <row r="130" spans="1:37" x14ac:dyDescent="0.35">
      <c r="A130" s="12">
        <v>129</v>
      </c>
      <c r="C130">
        <v>14</v>
      </c>
      <c r="E130" s="2">
        <v>9</v>
      </c>
      <c r="F130" s="2" t="s">
        <v>58</v>
      </c>
      <c r="G130" t="s">
        <v>34</v>
      </c>
      <c r="H130" t="s">
        <v>35</v>
      </c>
      <c r="J130" s="14">
        <f t="shared" si="10"/>
        <v>114.9</v>
      </c>
      <c r="K130">
        <v>1300</v>
      </c>
      <c r="N130" t="s">
        <v>54</v>
      </c>
      <c r="Q130" t="s">
        <v>38</v>
      </c>
      <c r="U130">
        <v>3</v>
      </c>
      <c r="W130" t="s">
        <v>352</v>
      </c>
      <c r="X130" t="s">
        <v>40</v>
      </c>
      <c r="Y130" t="s">
        <v>40</v>
      </c>
      <c r="AA130">
        <f t="shared" si="6"/>
        <v>11.49</v>
      </c>
      <c r="AB130" s="22">
        <v>36.1</v>
      </c>
      <c r="AC130">
        <f t="shared" si="9"/>
        <v>0.10235387405211886</v>
      </c>
      <c r="AI130" t="e">
        <f>IF(Y130="Yes",NA(),#REF!)</f>
        <v>#N/A</v>
      </c>
      <c r="AJ130" t="e">
        <f>IF(Y130="Yes",NA(),#REF!)</f>
        <v>#N/A</v>
      </c>
      <c r="AK130" t="e">
        <f>IF(Y130="Yes",NA(),#REF!)</f>
        <v>#N/A</v>
      </c>
    </row>
    <row r="131" spans="1:37" x14ac:dyDescent="0.35">
      <c r="A131" s="12">
        <v>130</v>
      </c>
      <c r="C131">
        <v>14</v>
      </c>
      <c r="E131" s="2" t="s">
        <v>58</v>
      </c>
      <c r="F131" s="2">
        <v>1</v>
      </c>
      <c r="G131" t="s">
        <v>47</v>
      </c>
      <c r="H131" t="s">
        <v>187</v>
      </c>
      <c r="J131" s="14">
        <f t="shared" si="10"/>
        <v>108.2</v>
      </c>
      <c r="K131">
        <v>1300</v>
      </c>
      <c r="N131" t="s">
        <v>54</v>
      </c>
      <c r="Q131" t="s">
        <v>38</v>
      </c>
      <c r="W131" t="s">
        <v>353</v>
      </c>
      <c r="X131" t="s">
        <v>40</v>
      </c>
      <c r="Y131" t="s">
        <v>40</v>
      </c>
      <c r="AA131">
        <f t="shared" ref="AA131:AA194" si="11">ROUND(AB131/PI(), 2)</f>
        <v>10.82</v>
      </c>
      <c r="AB131" s="22">
        <v>34</v>
      </c>
      <c r="AC131">
        <f t="shared" ref="AC131:AC154" si="12">PI()*(AB131/2)*(AB131/2)/10000</f>
        <v>9.0792027688745031E-2</v>
      </c>
      <c r="AI131" t="e">
        <f>IF(Y131="Yes",NA(),#REF!)</f>
        <v>#N/A</v>
      </c>
      <c r="AJ131" t="e">
        <f>IF(Y131="Yes",NA(),#REF!)</f>
        <v>#N/A</v>
      </c>
      <c r="AK131" t="e">
        <f>IF(Y131="Yes",NA(),#REF!)</f>
        <v>#N/A</v>
      </c>
    </row>
    <row r="132" spans="1:37" x14ac:dyDescent="0.35">
      <c r="A132" s="12">
        <v>131</v>
      </c>
      <c r="C132">
        <v>14</v>
      </c>
      <c r="E132" s="2">
        <v>3</v>
      </c>
      <c r="F132" s="2">
        <v>1</v>
      </c>
      <c r="G132" t="s">
        <v>112</v>
      </c>
      <c r="H132" t="s">
        <v>354</v>
      </c>
      <c r="J132" s="14">
        <f t="shared" si="10"/>
        <v>192.89999999999998</v>
      </c>
      <c r="K132">
        <v>1300</v>
      </c>
      <c r="N132" t="s">
        <v>54</v>
      </c>
      <c r="Q132">
        <v>4</v>
      </c>
      <c r="W132" t="s">
        <v>355</v>
      </c>
      <c r="X132" t="s">
        <v>40</v>
      </c>
      <c r="Y132" t="s">
        <v>40</v>
      </c>
      <c r="Z132" t="s">
        <v>356</v>
      </c>
      <c r="AA132">
        <f t="shared" si="11"/>
        <v>19.29</v>
      </c>
      <c r="AB132" s="21">
        <v>60.6</v>
      </c>
      <c r="AC132">
        <f t="shared" si="12"/>
        <v>0.28842647993342529</v>
      </c>
      <c r="AI132" t="e">
        <f>IF(Y132="Yes",NA(),#REF!)</f>
        <v>#N/A</v>
      </c>
      <c r="AJ132" t="e">
        <f>IF(Y132="Yes",NA(),#REF!)</f>
        <v>#N/A</v>
      </c>
      <c r="AK132" t="e">
        <f>IF(Y132="Yes",NA(),#REF!)</f>
        <v>#N/A</v>
      </c>
    </row>
    <row r="133" spans="1:37" x14ac:dyDescent="0.35">
      <c r="A133" s="12">
        <v>132</v>
      </c>
      <c r="C133">
        <v>14</v>
      </c>
      <c r="E133" s="23" t="s">
        <v>33</v>
      </c>
      <c r="F133" s="23">
        <v>1</v>
      </c>
      <c r="G133" t="s">
        <v>42</v>
      </c>
      <c r="H133" t="s">
        <v>357</v>
      </c>
      <c r="I133">
        <f>135</f>
        <v>135</v>
      </c>
      <c r="J133" s="14">
        <f t="shared" si="10"/>
        <v>131.5</v>
      </c>
      <c r="K133">
        <v>1300</v>
      </c>
      <c r="N133" t="s">
        <v>54</v>
      </c>
      <c r="Q133" t="s">
        <v>38</v>
      </c>
      <c r="W133" t="s">
        <v>358</v>
      </c>
      <c r="X133" t="s">
        <v>40</v>
      </c>
      <c r="Y133" t="s">
        <v>40</v>
      </c>
      <c r="AA133">
        <f t="shared" si="11"/>
        <v>13.15</v>
      </c>
      <c r="AB133" s="21">
        <v>41.3</v>
      </c>
      <c r="AC133">
        <f t="shared" si="12"/>
        <v>0.13396457933253933</v>
      </c>
      <c r="AI133" t="e">
        <f>IF(Y133="Yes",NA(),#REF!)</f>
        <v>#N/A</v>
      </c>
      <c r="AJ133" t="e">
        <f>IF(Y133="Yes",NA(),#REF!)</f>
        <v>#N/A</v>
      </c>
      <c r="AK133" t="e">
        <f>IF(Y133="Yes",NA(),#REF!)</f>
        <v>#N/A</v>
      </c>
    </row>
    <row r="134" spans="1:37" x14ac:dyDescent="0.35">
      <c r="A134" s="12">
        <v>133</v>
      </c>
      <c r="C134">
        <v>15</v>
      </c>
      <c r="E134" s="2">
        <v>2</v>
      </c>
      <c r="F134" s="2">
        <v>8</v>
      </c>
      <c r="G134" t="s">
        <v>63</v>
      </c>
      <c r="H134" t="s">
        <v>64</v>
      </c>
      <c r="J134" s="14">
        <f t="shared" si="10"/>
        <v>105</v>
      </c>
      <c r="K134">
        <v>1300</v>
      </c>
      <c r="N134" t="s">
        <v>54</v>
      </c>
      <c r="Q134" t="s">
        <v>152</v>
      </c>
      <c r="W134" t="s">
        <v>359</v>
      </c>
      <c r="AA134">
        <f t="shared" si="11"/>
        <v>10.5</v>
      </c>
      <c r="AB134" s="21">
        <v>33</v>
      </c>
      <c r="AC134">
        <f t="shared" si="12"/>
        <v>8.5529859993982119E-2</v>
      </c>
      <c r="AI134" t="e">
        <f>IF(Y134="Yes",NA(),#REF!)</f>
        <v>#REF!</v>
      </c>
      <c r="AJ134" t="e">
        <f>IF(Y134="Yes",NA(),#REF!)</f>
        <v>#REF!</v>
      </c>
      <c r="AK134" t="e">
        <f>IF(Y134="Yes",NA(),#REF!)</f>
        <v>#REF!</v>
      </c>
    </row>
    <row r="135" spans="1:37" x14ac:dyDescent="0.35">
      <c r="A135" s="12">
        <v>134</v>
      </c>
      <c r="C135">
        <v>15</v>
      </c>
      <c r="E135" s="2" t="s">
        <v>33</v>
      </c>
      <c r="F135" s="2">
        <v>9</v>
      </c>
      <c r="G135" t="s">
        <v>360</v>
      </c>
      <c r="H135" t="s">
        <v>361</v>
      </c>
      <c r="J135" s="14">
        <f t="shared" si="10"/>
        <v>273.7</v>
      </c>
      <c r="K135">
        <v>1300</v>
      </c>
      <c r="N135" t="s">
        <v>61</v>
      </c>
      <c r="Q135">
        <v>5</v>
      </c>
      <c r="U135">
        <v>3</v>
      </c>
      <c r="W135" t="s">
        <v>362</v>
      </c>
      <c r="X135" t="s">
        <v>40</v>
      </c>
      <c r="Y135" t="s">
        <v>40</v>
      </c>
      <c r="AA135">
        <f t="shared" si="11"/>
        <v>27.37</v>
      </c>
      <c r="AB135" s="22">
        <v>86</v>
      </c>
      <c r="AC135">
        <f t="shared" si="12"/>
        <v>0.58088048164875272</v>
      </c>
      <c r="AI135" t="e">
        <f>IF(Y135="Yes",NA(),#REF!)</f>
        <v>#N/A</v>
      </c>
      <c r="AJ135" t="e">
        <f>IF(Y135="Yes",NA(),#REF!)</f>
        <v>#N/A</v>
      </c>
      <c r="AK135" t="e">
        <f>IF(Y135="Yes",NA(),#REF!)</f>
        <v>#N/A</v>
      </c>
    </row>
    <row r="136" spans="1:37" x14ac:dyDescent="0.35">
      <c r="A136" s="12">
        <v>135</v>
      </c>
      <c r="C136">
        <v>15</v>
      </c>
      <c r="E136" s="23">
        <v>3</v>
      </c>
      <c r="F136" s="23" t="s">
        <v>51</v>
      </c>
      <c r="G136" t="s">
        <v>42</v>
      </c>
      <c r="H136" t="s">
        <v>357</v>
      </c>
      <c r="J136" s="14">
        <f t="shared" si="10"/>
        <v>113</v>
      </c>
      <c r="K136">
        <v>1300</v>
      </c>
      <c r="N136" t="s">
        <v>54</v>
      </c>
      <c r="Q136">
        <v>1</v>
      </c>
      <c r="W136" t="s">
        <v>363</v>
      </c>
      <c r="X136" t="s">
        <v>40</v>
      </c>
      <c r="Y136" t="s">
        <v>40</v>
      </c>
      <c r="AA136">
        <f t="shared" si="11"/>
        <v>11.3</v>
      </c>
      <c r="AB136" s="21">
        <v>35.5</v>
      </c>
      <c r="AC136">
        <f t="shared" si="12"/>
        <v>9.897980354216343E-2</v>
      </c>
      <c r="AI136" t="e">
        <f>IF(Y136="Yes",NA(),#REF!)</f>
        <v>#N/A</v>
      </c>
      <c r="AJ136" t="e">
        <f>IF(Y136="Yes",NA(),#REF!)</f>
        <v>#N/A</v>
      </c>
      <c r="AK136" t="e">
        <f>IF(Y136="Yes",NA(),#REF!)</f>
        <v>#N/A</v>
      </c>
    </row>
    <row r="137" spans="1:37" x14ac:dyDescent="0.35">
      <c r="A137" s="12">
        <v>136</v>
      </c>
      <c r="C137">
        <v>15</v>
      </c>
      <c r="E137" s="23" t="s">
        <v>364</v>
      </c>
      <c r="F137" s="23" t="s">
        <v>84</v>
      </c>
      <c r="G137" t="s">
        <v>112</v>
      </c>
      <c r="H137" t="s">
        <v>163</v>
      </c>
      <c r="J137" s="14">
        <f t="shared" si="10"/>
        <v>110.1</v>
      </c>
      <c r="K137">
        <v>1300</v>
      </c>
      <c r="N137" t="s">
        <v>61</v>
      </c>
      <c r="Q137">
        <v>4</v>
      </c>
      <c r="U137">
        <v>1</v>
      </c>
      <c r="W137" t="s">
        <v>365</v>
      </c>
      <c r="X137" t="s">
        <v>40</v>
      </c>
      <c r="Y137" t="s">
        <v>40</v>
      </c>
      <c r="AA137">
        <f t="shared" si="11"/>
        <v>11.01</v>
      </c>
      <c r="AB137" s="21">
        <v>34.6</v>
      </c>
      <c r="AC137">
        <f t="shared" si="12"/>
        <v>9.4024726529288921E-2</v>
      </c>
      <c r="AI137" t="e">
        <f>IF(Y137="Yes",NA(),#REF!)</f>
        <v>#N/A</v>
      </c>
      <c r="AJ137" t="e">
        <f>IF(Y137="Yes",NA(),#REF!)</f>
        <v>#N/A</v>
      </c>
      <c r="AK137" t="e">
        <f>IF(Y137="Yes",NA(),#REF!)</f>
        <v>#N/A</v>
      </c>
    </row>
    <row r="138" spans="1:37" x14ac:dyDescent="0.35">
      <c r="A138" s="12">
        <v>137</v>
      </c>
      <c r="C138">
        <v>15</v>
      </c>
      <c r="E138" s="2">
        <v>5</v>
      </c>
      <c r="F138" s="2">
        <v>9</v>
      </c>
      <c r="G138" t="s">
        <v>63</v>
      </c>
      <c r="H138" t="s">
        <v>64</v>
      </c>
      <c r="J138" s="14">
        <f t="shared" si="10"/>
        <v>128.30000000000001</v>
      </c>
      <c r="K138">
        <v>1300</v>
      </c>
      <c r="N138" t="s">
        <v>54</v>
      </c>
      <c r="Q138">
        <v>4</v>
      </c>
      <c r="W138" t="s">
        <v>366</v>
      </c>
      <c r="AA138">
        <f t="shared" si="11"/>
        <v>12.83</v>
      </c>
      <c r="AB138" s="21">
        <v>40.299999999999997</v>
      </c>
      <c r="AC138">
        <f t="shared" si="12"/>
        <v>0.12755573031921616</v>
      </c>
      <c r="AI138" t="e">
        <f>IF(Y138="Yes",NA(),#REF!)</f>
        <v>#REF!</v>
      </c>
      <c r="AJ138" t="e">
        <f>IF(Y138="Yes",NA(),#REF!)</f>
        <v>#REF!</v>
      </c>
      <c r="AK138" t="e">
        <f>IF(Y138="Yes",NA(),#REF!)</f>
        <v>#REF!</v>
      </c>
    </row>
    <row r="139" spans="1:37" x14ac:dyDescent="0.35">
      <c r="A139" s="12">
        <v>138</v>
      </c>
      <c r="C139">
        <v>15</v>
      </c>
      <c r="E139" s="2">
        <v>7</v>
      </c>
      <c r="F139" s="2">
        <v>7</v>
      </c>
      <c r="G139" t="s">
        <v>63</v>
      </c>
      <c r="H139" t="s">
        <v>64</v>
      </c>
      <c r="J139" s="14">
        <f t="shared" si="10"/>
        <v>108.2</v>
      </c>
      <c r="K139">
        <v>1300</v>
      </c>
      <c r="N139" t="s">
        <v>54</v>
      </c>
      <c r="Q139" t="s">
        <v>55</v>
      </c>
      <c r="W139" t="s">
        <v>367</v>
      </c>
      <c r="AA139">
        <f t="shared" si="11"/>
        <v>10.82</v>
      </c>
      <c r="AB139" s="21">
        <v>34</v>
      </c>
      <c r="AC139">
        <f t="shared" si="12"/>
        <v>9.0792027688745031E-2</v>
      </c>
      <c r="AI139" t="e">
        <f>IF(Y139="Yes",NA(),#REF!)</f>
        <v>#REF!</v>
      </c>
      <c r="AJ139" t="e">
        <f>IF(Y139="Yes",NA(),#REF!)</f>
        <v>#REF!</v>
      </c>
      <c r="AK139" t="e">
        <f>IF(Y139="Yes",NA(),#REF!)</f>
        <v>#REF!</v>
      </c>
    </row>
    <row r="140" spans="1:37" x14ac:dyDescent="0.35">
      <c r="A140" s="12">
        <v>139</v>
      </c>
      <c r="C140">
        <v>15</v>
      </c>
      <c r="E140" s="2" t="s">
        <v>111</v>
      </c>
      <c r="F140" s="2" t="s">
        <v>174</v>
      </c>
      <c r="G140" t="s">
        <v>63</v>
      </c>
      <c r="H140" t="s">
        <v>64</v>
      </c>
      <c r="J140" s="14">
        <f t="shared" si="10"/>
        <v>141</v>
      </c>
      <c r="K140">
        <v>1300</v>
      </c>
      <c r="N140" t="s">
        <v>54</v>
      </c>
      <c r="Q140">
        <v>4</v>
      </c>
      <c r="W140" t="s">
        <v>368</v>
      </c>
      <c r="AA140">
        <f t="shared" si="11"/>
        <v>14.1</v>
      </c>
      <c r="AB140" s="21">
        <v>44.3</v>
      </c>
      <c r="AC140">
        <f t="shared" si="12"/>
        <v>0.15413360416858579</v>
      </c>
      <c r="AI140" t="e">
        <f>IF(Y140="Yes",NA(),#REF!)</f>
        <v>#REF!</v>
      </c>
      <c r="AJ140" t="e">
        <f>IF(Y140="Yes",NA(),#REF!)</f>
        <v>#REF!</v>
      </c>
      <c r="AK140" t="e">
        <f>IF(Y140="Yes",NA(),#REF!)</f>
        <v>#REF!</v>
      </c>
    </row>
    <row r="141" spans="1:37" x14ac:dyDescent="0.35">
      <c r="A141" s="12">
        <v>140</v>
      </c>
      <c r="C141">
        <v>15</v>
      </c>
      <c r="E141" s="2" t="s">
        <v>92</v>
      </c>
      <c r="F141" s="2" t="s">
        <v>33</v>
      </c>
      <c r="G141" t="s">
        <v>63</v>
      </c>
      <c r="H141" t="s">
        <v>64</v>
      </c>
      <c r="J141" s="14">
        <f t="shared" si="10"/>
        <v>138.5</v>
      </c>
      <c r="K141">
        <v>1300</v>
      </c>
      <c r="N141" t="s">
        <v>54</v>
      </c>
      <c r="Q141">
        <v>4</v>
      </c>
      <c r="W141" t="s">
        <v>369</v>
      </c>
      <c r="Z141" t="s">
        <v>370</v>
      </c>
      <c r="AA141">
        <f t="shared" si="11"/>
        <v>13.85</v>
      </c>
      <c r="AB141" s="21">
        <v>43.5</v>
      </c>
      <c r="AC141">
        <f t="shared" si="12"/>
        <v>0.14861696746888214</v>
      </c>
      <c r="AI141" t="e">
        <f>IF(Y141="Yes",NA(),#REF!)</f>
        <v>#REF!</v>
      </c>
      <c r="AJ141" t="e">
        <f>IF(Y141="Yes",NA(),#REF!)</f>
        <v>#REF!</v>
      </c>
      <c r="AK141" t="e">
        <f>IF(Y141="Yes",NA(),#REF!)</f>
        <v>#REF!</v>
      </c>
    </row>
    <row r="142" spans="1:37" x14ac:dyDescent="0.35">
      <c r="A142" s="12">
        <v>141</v>
      </c>
      <c r="C142">
        <v>15</v>
      </c>
      <c r="E142" s="2">
        <v>0</v>
      </c>
      <c r="F142" s="2">
        <v>3</v>
      </c>
      <c r="G142" t="s">
        <v>63</v>
      </c>
      <c r="H142" t="s">
        <v>64</v>
      </c>
      <c r="J142" s="14">
        <f t="shared" si="10"/>
        <v>117.8</v>
      </c>
      <c r="K142">
        <v>1300</v>
      </c>
      <c r="N142" t="s">
        <v>54</v>
      </c>
      <c r="Q142">
        <v>4</v>
      </c>
      <c r="W142" t="s">
        <v>371</v>
      </c>
      <c r="AA142">
        <f t="shared" si="11"/>
        <v>11.78</v>
      </c>
      <c r="AB142" s="21">
        <v>37</v>
      </c>
      <c r="AC142">
        <f t="shared" si="12"/>
        <v>0.10752100856911068</v>
      </c>
      <c r="AI142" t="e">
        <f>IF(Y142="Yes",NA(),#REF!)</f>
        <v>#REF!</v>
      </c>
      <c r="AJ142" t="e">
        <f>IF(Y142="Yes",NA(),#REF!)</f>
        <v>#REF!</v>
      </c>
      <c r="AK142" t="e">
        <f>IF(Y142="Yes",NA(),#REF!)</f>
        <v>#REF!</v>
      </c>
    </row>
    <row r="143" spans="1:37" x14ac:dyDescent="0.35">
      <c r="A143" s="12">
        <v>142</v>
      </c>
      <c r="C143">
        <v>16</v>
      </c>
      <c r="E143" s="2">
        <v>2</v>
      </c>
      <c r="F143" s="2" t="s">
        <v>52</v>
      </c>
      <c r="G143" t="s">
        <v>42</v>
      </c>
      <c r="H143" t="s">
        <v>320</v>
      </c>
      <c r="J143" s="14">
        <f t="shared" si="10"/>
        <v>394.09999999999997</v>
      </c>
      <c r="K143">
        <v>1300</v>
      </c>
      <c r="N143" t="s">
        <v>61</v>
      </c>
      <c r="Q143">
        <v>4</v>
      </c>
      <c r="U143">
        <v>3</v>
      </c>
      <c r="W143" t="s">
        <v>372</v>
      </c>
      <c r="X143" t="s">
        <v>40</v>
      </c>
      <c r="Y143" t="s">
        <v>40</v>
      </c>
      <c r="Z143" t="s">
        <v>373</v>
      </c>
      <c r="AA143">
        <f t="shared" si="11"/>
        <v>39.409999999999997</v>
      </c>
      <c r="AB143" s="22">
        <v>123.8</v>
      </c>
      <c r="AC143">
        <f t="shared" si="12"/>
        <v>1.2037357827421187</v>
      </c>
      <c r="AI143" t="e">
        <f>IF(Y143="Yes",NA(),#REF!)</f>
        <v>#N/A</v>
      </c>
      <c r="AJ143" t="e">
        <f>IF(Y143="Yes",NA(),#REF!)</f>
        <v>#N/A</v>
      </c>
      <c r="AK143" t="e">
        <f>IF(Y143="Yes",NA(),#REF!)</f>
        <v>#N/A</v>
      </c>
    </row>
    <row r="144" spans="1:37" x14ac:dyDescent="0.35">
      <c r="A144" s="12">
        <v>143</v>
      </c>
      <c r="C144">
        <v>16</v>
      </c>
      <c r="E144" s="2" t="s">
        <v>174</v>
      </c>
      <c r="F144" s="2">
        <v>8</v>
      </c>
      <c r="G144" t="s">
        <v>34</v>
      </c>
      <c r="H144" t="s">
        <v>35</v>
      </c>
      <c r="I144" t="s">
        <v>374</v>
      </c>
      <c r="J144" s="14">
        <f t="shared" si="10"/>
        <v>160.10000000000002</v>
      </c>
      <c r="K144">
        <v>1300</v>
      </c>
      <c r="N144" t="s">
        <v>54</v>
      </c>
      <c r="Q144">
        <v>4</v>
      </c>
      <c r="U144">
        <v>3</v>
      </c>
      <c r="W144" t="s">
        <v>375</v>
      </c>
      <c r="X144" t="s">
        <v>40</v>
      </c>
      <c r="Y144" t="s">
        <v>40</v>
      </c>
      <c r="Z144" t="s">
        <v>326</v>
      </c>
      <c r="AA144">
        <f t="shared" si="11"/>
        <v>16.010000000000002</v>
      </c>
      <c r="AB144" s="22">
        <v>50.3</v>
      </c>
      <c r="AC144">
        <f t="shared" si="12"/>
        <v>0.19871280392302496</v>
      </c>
      <c r="AI144" t="e">
        <f>IF(Y144="Yes",NA(),#REF!)</f>
        <v>#N/A</v>
      </c>
      <c r="AJ144" t="e">
        <f>IF(Y144="Yes",NA(),#REF!)</f>
        <v>#N/A</v>
      </c>
      <c r="AK144" t="e">
        <f>IF(Y144="Yes",NA(),#REF!)</f>
        <v>#N/A</v>
      </c>
    </row>
    <row r="145" spans="1:37" x14ac:dyDescent="0.35">
      <c r="A145" s="12">
        <v>144</v>
      </c>
      <c r="C145">
        <v>16</v>
      </c>
      <c r="E145" s="2" t="s">
        <v>281</v>
      </c>
      <c r="F145" s="2">
        <v>9</v>
      </c>
      <c r="G145" t="s">
        <v>213</v>
      </c>
      <c r="H145" t="s">
        <v>214</v>
      </c>
      <c r="J145" s="14">
        <f t="shared" si="10"/>
        <v>100.9</v>
      </c>
      <c r="K145">
        <v>1300</v>
      </c>
      <c r="N145" t="s">
        <v>54</v>
      </c>
      <c r="Q145" t="s">
        <v>55</v>
      </c>
      <c r="U145">
        <v>3</v>
      </c>
      <c r="W145" t="s">
        <v>376</v>
      </c>
      <c r="X145" t="s">
        <v>40</v>
      </c>
      <c r="Y145" t="s">
        <v>40</v>
      </c>
      <c r="AA145">
        <f t="shared" si="11"/>
        <v>10.09</v>
      </c>
      <c r="AB145" s="22">
        <v>31.7</v>
      </c>
      <c r="AC145">
        <f t="shared" si="12"/>
        <v>7.8923876041646177E-2</v>
      </c>
      <c r="AI145" t="e">
        <f>IF(Y145="Yes",NA(),#REF!)</f>
        <v>#N/A</v>
      </c>
      <c r="AJ145" t="e">
        <f>IF(Y145="Yes",NA(),#REF!)</f>
        <v>#N/A</v>
      </c>
      <c r="AK145" t="e">
        <f>IF(Y145="Yes",NA(),#REF!)</f>
        <v>#N/A</v>
      </c>
    </row>
    <row r="146" spans="1:37" x14ac:dyDescent="0.35">
      <c r="A146" s="12">
        <v>145</v>
      </c>
      <c r="C146">
        <v>16</v>
      </c>
      <c r="E146" s="2" t="s">
        <v>174</v>
      </c>
      <c r="F146" s="2" t="s">
        <v>75</v>
      </c>
      <c r="G146" t="s">
        <v>66</v>
      </c>
      <c r="H146" t="s">
        <v>377</v>
      </c>
      <c r="I146" t="s">
        <v>378</v>
      </c>
      <c r="J146" s="14">
        <f t="shared" si="10"/>
        <v>103.5</v>
      </c>
      <c r="K146">
        <v>1100</v>
      </c>
      <c r="N146" t="s">
        <v>54</v>
      </c>
      <c r="Q146" t="s">
        <v>38</v>
      </c>
      <c r="U146">
        <v>3</v>
      </c>
      <c r="W146" t="s">
        <v>379</v>
      </c>
      <c r="X146" t="s">
        <v>40</v>
      </c>
      <c r="Y146" t="s">
        <v>40</v>
      </c>
      <c r="Z146" t="s">
        <v>380</v>
      </c>
      <c r="AA146">
        <f t="shared" si="11"/>
        <v>10.35</v>
      </c>
      <c r="AB146" s="22">
        <v>32.5</v>
      </c>
      <c r="AC146">
        <f t="shared" si="12"/>
        <v>8.2957681008855463E-2</v>
      </c>
      <c r="AI146" t="e">
        <f>IF(Y146="Yes",NA(),#REF!)</f>
        <v>#N/A</v>
      </c>
      <c r="AJ146" t="e">
        <f>IF(Y146="Yes",NA(),#REF!)</f>
        <v>#N/A</v>
      </c>
      <c r="AK146" t="e">
        <f>IF(Y146="Yes",NA(),#REF!)</f>
        <v>#N/A</v>
      </c>
    </row>
    <row r="147" spans="1:37" x14ac:dyDescent="0.35">
      <c r="A147" s="12">
        <v>146</v>
      </c>
      <c r="C147">
        <v>16</v>
      </c>
      <c r="E147" s="23">
        <v>7</v>
      </c>
      <c r="F147" s="23" t="s">
        <v>52</v>
      </c>
      <c r="G147" t="s">
        <v>381</v>
      </c>
      <c r="H147" t="s">
        <v>382</v>
      </c>
      <c r="J147" s="14">
        <f t="shared" si="10"/>
        <v>307.8</v>
      </c>
      <c r="K147">
        <v>1300</v>
      </c>
      <c r="N147" t="s">
        <v>54</v>
      </c>
      <c r="Q147">
        <v>5</v>
      </c>
      <c r="U147">
        <v>4</v>
      </c>
      <c r="W147" t="s">
        <v>383</v>
      </c>
      <c r="X147" t="s">
        <v>40</v>
      </c>
      <c r="Y147" t="s">
        <v>40</v>
      </c>
      <c r="Z147" t="s">
        <v>384</v>
      </c>
      <c r="AA147">
        <f t="shared" si="11"/>
        <v>30.78</v>
      </c>
      <c r="AB147" s="21">
        <v>96.7</v>
      </c>
      <c r="AC147">
        <f t="shared" si="12"/>
        <v>0.73441718321315652</v>
      </c>
      <c r="AI147" t="e">
        <f>IF(Y147="Yes",NA(),#REF!)</f>
        <v>#N/A</v>
      </c>
      <c r="AJ147" t="e">
        <f>IF(Y147="Yes",NA(),#REF!)</f>
        <v>#N/A</v>
      </c>
      <c r="AK147" t="e">
        <f>IF(Y147="Yes",NA(),#REF!)</f>
        <v>#N/A</v>
      </c>
    </row>
    <row r="148" spans="1:37" x14ac:dyDescent="0.35">
      <c r="A148" s="12">
        <v>147</v>
      </c>
      <c r="C148">
        <v>16</v>
      </c>
      <c r="E148" s="2" t="s">
        <v>52</v>
      </c>
      <c r="F148" s="2" t="s">
        <v>281</v>
      </c>
      <c r="G148" t="s">
        <v>213</v>
      </c>
      <c r="H148" t="s">
        <v>385</v>
      </c>
      <c r="J148" s="14">
        <f t="shared" si="10"/>
        <v>160.69999999999999</v>
      </c>
      <c r="K148">
        <v>1300</v>
      </c>
      <c r="N148" t="s">
        <v>54</v>
      </c>
      <c r="Q148">
        <v>4</v>
      </c>
      <c r="U148">
        <v>3</v>
      </c>
      <c r="W148" t="s">
        <v>386</v>
      </c>
      <c r="X148" t="s">
        <v>40</v>
      </c>
      <c r="Y148" t="s">
        <v>40</v>
      </c>
      <c r="AA148">
        <f t="shared" si="11"/>
        <v>16.07</v>
      </c>
      <c r="AB148" s="21">
        <v>50.5</v>
      </c>
      <c r="AC148">
        <f t="shared" si="12"/>
        <v>0.20029616662043426</v>
      </c>
      <c r="AI148" t="e">
        <f>IF(Y148="Yes",NA(),#REF!)</f>
        <v>#N/A</v>
      </c>
      <c r="AJ148" t="e">
        <f>IF(Y148="Yes",NA(),#REF!)</f>
        <v>#N/A</v>
      </c>
      <c r="AK148" t="e">
        <f>IF(Y148="Yes",NA(),#REF!)</f>
        <v>#N/A</v>
      </c>
    </row>
    <row r="149" spans="1:37" x14ac:dyDescent="0.35">
      <c r="A149" s="12">
        <v>148</v>
      </c>
      <c r="C149">
        <v>16</v>
      </c>
      <c r="E149" s="2" t="s">
        <v>58</v>
      </c>
      <c r="F149" s="2">
        <v>8</v>
      </c>
      <c r="G149" t="s">
        <v>114</v>
      </c>
      <c r="H149" t="s">
        <v>35</v>
      </c>
      <c r="J149" s="14">
        <f t="shared" si="10"/>
        <v>496.59999999999997</v>
      </c>
      <c r="K149">
        <v>1900</v>
      </c>
      <c r="N149" t="s">
        <v>265</v>
      </c>
      <c r="Q149">
        <v>5</v>
      </c>
      <c r="U149">
        <v>3</v>
      </c>
      <c r="W149" t="s">
        <v>387</v>
      </c>
      <c r="X149" t="s">
        <v>40</v>
      </c>
      <c r="Y149" t="s">
        <v>40</v>
      </c>
      <c r="Z149" t="s">
        <v>388</v>
      </c>
      <c r="AA149">
        <f t="shared" si="11"/>
        <v>49.66</v>
      </c>
      <c r="AB149" s="22">
        <v>156</v>
      </c>
      <c r="AC149">
        <f t="shared" si="12"/>
        <v>1.91134497044403</v>
      </c>
      <c r="AI149" t="e">
        <f>IF(Y149="Yes",NA(),#REF!)</f>
        <v>#N/A</v>
      </c>
      <c r="AJ149" t="e">
        <f>IF(Y149="Yes",NA(),#REF!)</f>
        <v>#N/A</v>
      </c>
      <c r="AK149" t="e">
        <f>IF(Y149="Yes",NA(),#REF!)</f>
        <v>#N/A</v>
      </c>
    </row>
    <row r="150" spans="1:37" x14ac:dyDescent="0.35">
      <c r="A150" s="12">
        <v>149</v>
      </c>
      <c r="C150">
        <v>16</v>
      </c>
      <c r="E150" s="2" t="s">
        <v>51</v>
      </c>
      <c r="F150" s="2">
        <v>10</v>
      </c>
      <c r="G150" t="s">
        <v>63</v>
      </c>
      <c r="H150" t="s">
        <v>64</v>
      </c>
      <c r="J150" s="14">
        <f t="shared" si="10"/>
        <v>127.30000000000001</v>
      </c>
      <c r="K150">
        <v>1300</v>
      </c>
      <c r="N150" t="s">
        <v>54</v>
      </c>
      <c r="Q150">
        <v>4</v>
      </c>
      <c r="W150" t="s">
        <v>389</v>
      </c>
      <c r="AA150">
        <f t="shared" si="11"/>
        <v>12.73</v>
      </c>
      <c r="AB150" s="21">
        <v>40</v>
      </c>
      <c r="AC150">
        <f t="shared" si="12"/>
        <v>0.12566370614359174</v>
      </c>
      <c r="AI150" t="e">
        <f>IF(Y150="Yes",NA(),#REF!)</f>
        <v>#REF!</v>
      </c>
      <c r="AJ150" t="e">
        <f>IF(Y150="Yes",NA(),#REF!)</f>
        <v>#REF!</v>
      </c>
      <c r="AK150" t="e">
        <f>IF(Y150="Yes",NA(),#REF!)</f>
        <v>#REF!</v>
      </c>
    </row>
    <row r="151" spans="1:37" x14ac:dyDescent="0.35">
      <c r="A151" s="12">
        <v>150</v>
      </c>
      <c r="C151">
        <v>16</v>
      </c>
      <c r="E151" s="2">
        <v>9</v>
      </c>
      <c r="F151" s="2">
        <v>2</v>
      </c>
      <c r="G151" t="s">
        <v>70</v>
      </c>
      <c r="H151" t="s">
        <v>35</v>
      </c>
      <c r="J151" s="14">
        <f t="shared" si="10"/>
        <v>176.70000000000002</v>
      </c>
      <c r="K151">
        <v>1300</v>
      </c>
      <c r="N151" t="s">
        <v>54</v>
      </c>
      <c r="Q151" t="s">
        <v>38</v>
      </c>
      <c r="U151">
        <v>3</v>
      </c>
      <c r="W151" t="s">
        <v>390</v>
      </c>
      <c r="X151" t="s">
        <v>40</v>
      </c>
      <c r="Y151" t="s">
        <v>40</v>
      </c>
      <c r="AA151">
        <f t="shared" si="11"/>
        <v>17.670000000000002</v>
      </c>
      <c r="AB151" s="22">
        <v>55.5</v>
      </c>
      <c r="AC151">
        <f t="shared" si="12"/>
        <v>0.24192226928049901</v>
      </c>
      <c r="AI151" t="e">
        <f>IF(Y151="Yes",NA(),#REF!)</f>
        <v>#N/A</v>
      </c>
      <c r="AJ151" t="e">
        <f>IF(Y151="Yes",NA(),#REF!)</f>
        <v>#N/A</v>
      </c>
      <c r="AK151" t="e">
        <f>IF(Y151="Yes",NA(),#REF!)</f>
        <v>#N/A</v>
      </c>
    </row>
    <row r="152" spans="1:37" x14ac:dyDescent="0.35">
      <c r="A152" s="12">
        <v>151</v>
      </c>
      <c r="C152">
        <v>16</v>
      </c>
      <c r="E152" s="2">
        <v>4</v>
      </c>
      <c r="F152" s="2" t="s">
        <v>174</v>
      </c>
      <c r="G152" t="s">
        <v>89</v>
      </c>
      <c r="H152" t="s">
        <v>90</v>
      </c>
      <c r="J152" s="14">
        <f t="shared" si="10"/>
        <v>200.5</v>
      </c>
      <c r="K152">
        <v>2000</v>
      </c>
      <c r="N152" t="s">
        <v>54</v>
      </c>
      <c r="Q152">
        <v>5</v>
      </c>
      <c r="U152">
        <v>6</v>
      </c>
      <c r="W152" t="s">
        <v>391</v>
      </c>
      <c r="X152" t="s">
        <v>40</v>
      </c>
      <c r="Y152" t="s">
        <v>40</v>
      </c>
      <c r="AA152">
        <f t="shared" si="11"/>
        <v>20.05</v>
      </c>
      <c r="AB152" s="22">
        <v>63</v>
      </c>
      <c r="AC152">
        <f t="shared" si="12"/>
        <v>0.31172453105244724</v>
      </c>
      <c r="AI152" t="e">
        <f>IF(Y152="Yes",NA(),#REF!)</f>
        <v>#N/A</v>
      </c>
      <c r="AJ152" t="e">
        <f>IF(Y152="Yes",NA(),#REF!)</f>
        <v>#N/A</v>
      </c>
      <c r="AK152" t="e">
        <f>IF(Y152="Yes",NA(),#REF!)</f>
        <v>#N/A</v>
      </c>
    </row>
    <row r="153" spans="1:37" x14ac:dyDescent="0.35">
      <c r="A153" s="12">
        <v>152</v>
      </c>
      <c r="C153">
        <v>16</v>
      </c>
      <c r="E153" s="2" t="s">
        <v>392</v>
      </c>
      <c r="F153" s="2" t="s">
        <v>79</v>
      </c>
      <c r="G153" t="s">
        <v>145</v>
      </c>
      <c r="H153" t="s">
        <v>393</v>
      </c>
      <c r="J153" s="14">
        <f t="shared" si="10"/>
        <v>318.29999999999995</v>
      </c>
      <c r="K153">
        <v>1300</v>
      </c>
      <c r="N153" t="s">
        <v>54</v>
      </c>
      <c r="Q153">
        <v>5</v>
      </c>
      <c r="U153">
        <v>4</v>
      </c>
      <c r="W153" t="s">
        <v>394</v>
      </c>
      <c r="X153" t="s">
        <v>40</v>
      </c>
      <c r="Y153" t="s">
        <v>40</v>
      </c>
      <c r="AA153">
        <f t="shared" si="11"/>
        <v>31.83</v>
      </c>
      <c r="AB153" s="22">
        <v>100</v>
      </c>
      <c r="AC153">
        <f t="shared" si="12"/>
        <v>0.78539816339744828</v>
      </c>
      <c r="AI153" t="e">
        <f>IF(Y153="Yes",NA(),#REF!)</f>
        <v>#N/A</v>
      </c>
      <c r="AJ153" t="e">
        <f>IF(Y153="Yes",NA(),#REF!)</f>
        <v>#N/A</v>
      </c>
      <c r="AK153" t="e">
        <f>IF(Y153="Yes",NA(),#REF!)</f>
        <v>#N/A</v>
      </c>
    </row>
    <row r="154" spans="1:37" x14ac:dyDescent="0.35">
      <c r="A154" s="12">
        <v>153</v>
      </c>
      <c r="C154">
        <v>16</v>
      </c>
      <c r="E154" s="2" t="s">
        <v>174</v>
      </c>
      <c r="F154" s="2" t="s">
        <v>174</v>
      </c>
      <c r="G154" t="s">
        <v>47</v>
      </c>
      <c r="H154" t="s">
        <v>395</v>
      </c>
      <c r="J154" s="14">
        <f t="shared" si="10"/>
        <v>289.7</v>
      </c>
      <c r="K154">
        <v>1300</v>
      </c>
      <c r="N154" t="s">
        <v>61</v>
      </c>
      <c r="Q154">
        <v>4</v>
      </c>
      <c r="U154">
        <v>3</v>
      </c>
      <c r="W154" t="s">
        <v>396</v>
      </c>
      <c r="X154" t="s">
        <v>40</v>
      </c>
      <c r="Y154" t="s">
        <v>40</v>
      </c>
      <c r="AA154">
        <f t="shared" si="11"/>
        <v>28.97</v>
      </c>
      <c r="AB154" s="21">
        <v>91</v>
      </c>
      <c r="AC154">
        <f t="shared" si="12"/>
        <v>0.6503882191094269</v>
      </c>
      <c r="AI154" t="e">
        <f>IF(Y154="Yes",NA(),#REF!)</f>
        <v>#N/A</v>
      </c>
      <c r="AJ154" t="e">
        <f>IF(Y154="Yes",NA(),#REF!)</f>
        <v>#N/A</v>
      </c>
      <c r="AK154" t="e">
        <f>IF(Y154="Yes",NA(),#REF!)</f>
        <v>#N/A</v>
      </c>
    </row>
    <row r="155" spans="1:37" x14ac:dyDescent="0.35">
      <c r="A155" s="12">
        <v>154</v>
      </c>
      <c r="C155">
        <v>17</v>
      </c>
      <c r="E155" s="2" t="s">
        <v>92</v>
      </c>
      <c r="F155" s="2" t="s">
        <v>58</v>
      </c>
      <c r="G155" t="s">
        <v>63</v>
      </c>
      <c r="H155" t="s">
        <v>64</v>
      </c>
      <c r="J155" s="14">
        <f t="shared" si="10"/>
        <v>146.4</v>
      </c>
      <c r="K155">
        <v>1300</v>
      </c>
      <c r="N155" t="s">
        <v>54</v>
      </c>
      <c r="Q155" t="s">
        <v>38</v>
      </c>
      <c r="W155" t="s">
        <v>397</v>
      </c>
      <c r="AA155">
        <f t="shared" si="11"/>
        <v>14.64</v>
      </c>
      <c r="AB155" s="21">
        <v>46</v>
      </c>
      <c r="AC155" t="s">
        <v>398</v>
      </c>
      <c r="AI155" t="e">
        <f>IF(Y155="Yes",NA(),#REF!)</f>
        <v>#REF!</v>
      </c>
      <c r="AJ155" t="e">
        <f>IF(Y155="Yes",NA(),#REF!)</f>
        <v>#REF!</v>
      </c>
      <c r="AK155" t="e">
        <f>IF(Y155="Yes",NA(),#REF!)</f>
        <v>#REF!</v>
      </c>
    </row>
    <row r="156" spans="1:37" x14ac:dyDescent="0.35">
      <c r="A156" s="12">
        <v>155</v>
      </c>
      <c r="C156">
        <v>17</v>
      </c>
      <c r="E156" s="2" t="s">
        <v>111</v>
      </c>
      <c r="F156" s="2">
        <v>10</v>
      </c>
      <c r="G156" t="s">
        <v>66</v>
      </c>
      <c r="H156" s="20" t="s">
        <v>67</v>
      </c>
      <c r="J156" s="14">
        <f t="shared" si="10"/>
        <v>318.29999999999995</v>
      </c>
      <c r="K156">
        <v>1300</v>
      </c>
      <c r="N156" t="s">
        <v>54</v>
      </c>
      <c r="Q156">
        <v>5</v>
      </c>
      <c r="U156">
        <v>4</v>
      </c>
      <c r="W156" t="s">
        <v>399</v>
      </c>
      <c r="X156" t="s">
        <v>40</v>
      </c>
      <c r="Y156" t="s">
        <v>40</v>
      </c>
      <c r="Z156" t="s">
        <v>400</v>
      </c>
      <c r="AA156">
        <f t="shared" si="11"/>
        <v>31.83</v>
      </c>
      <c r="AB156" s="21">
        <v>100</v>
      </c>
      <c r="AC156">
        <f t="shared" ref="AC156:AC187" si="13">PI()*(AB156/2)*(AB156/2)/10000</f>
        <v>0.78539816339744828</v>
      </c>
      <c r="AI156" t="e">
        <f>IF(Y156="Yes",NA(),#REF!)</f>
        <v>#N/A</v>
      </c>
      <c r="AJ156" t="e">
        <f>IF(Y156="Yes",NA(),#REF!)</f>
        <v>#N/A</v>
      </c>
      <c r="AK156" t="e">
        <f>IF(Y156="Yes",NA(),#REF!)</f>
        <v>#N/A</v>
      </c>
    </row>
    <row r="157" spans="1:37" x14ac:dyDescent="0.35">
      <c r="A157" s="12">
        <v>156</v>
      </c>
      <c r="C157">
        <v>17</v>
      </c>
      <c r="E157" s="2" t="s">
        <v>401</v>
      </c>
      <c r="F157" s="2" t="s">
        <v>84</v>
      </c>
      <c r="G157" t="s">
        <v>47</v>
      </c>
      <c r="H157" t="s">
        <v>53</v>
      </c>
      <c r="J157" s="14">
        <f t="shared" si="10"/>
        <v>257.8</v>
      </c>
      <c r="K157">
        <v>1300</v>
      </c>
      <c r="N157" t="s">
        <v>61</v>
      </c>
      <c r="Q157">
        <v>4</v>
      </c>
      <c r="W157" t="s">
        <v>402</v>
      </c>
      <c r="X157" t="s">
        <v>40</v>
      </c>
      <c r="Y157" t="s">
        <v>40</v>
      </c>
      <c r="Z157" t="s">
        <v>74</v>
      </c>
      <c r="AA157">
        <f t="shared" si="11"/>
        <v>25.78</v>
      </c>
      <c r="AB157" s="22">
        <v>81</v>
      </c>
      <c r="AC157">
        <f t="shared" si="13"/>
        <v>0.51529973500506576</v>
      </c>
      <c r="AI157" t="e">
        <f>IF(Y157="Yes",NA(),#REF!)</f>
        <v>#N/A</v>
      </c>
      <c r="AJ157" t="e">
        <f>IF(Y157="Yes",NA(),#REF!)</f>
        <v>#N/A</v>
      </c>
      <c r="AK157" t="e">
        <f>IF(Y157="Yes",NA(),#REF!)</f>
        <v>#N/A</v>
      </c>
    </row>
    <row r="158" spans="1:37" x14ac:dyDescent="0.35">
      <c r="A158" s="12">
        <v>157</v>
      </c>
      <c r="C158">
        <v>17</v>
      </c>
      <c r="E158" s="2" t="s">
        <v>401</v>
      </c>
      <c r="F158" s="2" t="s">
        <v>58</v>
      </c>
      <c r="G158" t="s">
        <v>34</v>
      </c>
      <c r="H158" t="s">
        <v>35</v>
      </c>
      <c r="I158" t="s">
        <v>374</v>
      </c>
      <c r="J158" s="14">
        <f t="shared" si="10"/>
        <v>277.2</v>
      </c>
      <c r="K158">
        <v>1300</v>
      </c>
      <c r="N158" t="s">
        <v>54</v>
      </c>
      <c r="Q158">
        <v>5</v>
      </c>
      <c r="U158">
        <v>5</v>
      </c>
      <c r="W158" t="s">
        <v>403</v>
      </c>
      <c r="X158" s="24" t="s">
        <v>40</v>
      </c>
      <c r="Y158" t="s">
        <v>40</v>
      </c>
      <c r="AA158">
        <f t="shared" si="11"/>
        <v>27.72</v>
      </c>
      <c r="AB158" s="22">
        <v>87.1</v>
      </c>
      <c r="AC158">
        <f t="shared" si="13"/>
        <v>0.59583524807800348</v>
      </c>
      <c r="AI158" t="e">
        <f>IF(Y158="Yes",NA(),#REF!)</f>
        <v>#N/A</v>
      </c>
      <c r="AJ158" t="e">
        <f>IF(Y158="Yes",NA(),#REF!)</f>
        <v>#N/A</v>
      </c>
      <c r="AK158" t="e">
        <f>IF(Y158="Yes",NA(),#REF!)</f>
        <v>#N/A</v>
      </c>
    </row>
    <row r="159" spans="1:37" x14ac:dyDescent="0.35">
      <c r="A159" s="12">
        <v>158</v>
      </c>
      <c r="C159">
        <v>17</v>
      </c>
      <c r="E159" s="2">
        <v>6</v>
      </c>
      <c r="F159" s="2" t="s">
        <v>58</v>
      </c>
      <c r="G159" t="s">
        <v>404</v>
      </c>
      <c r="H159" t="s">
        <v>35</v>
      </c>
      <c r="J159" s="14">
        <f t="shared" si="10"/>
        <v>116.8</v>
      </c>
      <c r="K159">
        <v>1300</v>
      </c>
      <c r="N159" t="s">
        <v>265</v>
      </c>
      <c r="Q159" t="s">
        <v>152</v>
      </c>
      <c r="U159">
        <v>2</v>
      </c>
      <c r="W159" t="s">
        <v>405</v>
      </c>
      <c r="X159" s="24" t="s">
        <v>40</v>
      </c>
      <c r="Y159" t="s">
        <v>40</v>
      </c>
      <c r="AA159">
        <f t="shared" si="11"/>
        <v>11.68</v>
      </c>
      <c r="AB159" s="22">
        <v>36.700000000000003</v>
      </c>
      <c r="AC159">
        <f t="shared" si="13"/>
        <v>0.10578449322983893</v>
      </c>
      <c r="AI159" t="e">
        <f>IF(Y159="Yes",NA(),#REF!)</f>
        <v>#N/A</v>
      </c>
      <c r="AJ159" t="e">
        <f>IF(Y159="Yes",NA(),#REF!)</f>
        <v>#N/A</v>
      </c>
      <c r="AK159" t="e">
        <f>IF(Y159="Yes",NA(),#REF!)</f>
        <v>#N/A</v>
      </c>
    </row>
    <row r="160" spans="1:37" x14ac:dyDescent="0.35">
      <c r="A160" s="12">
        <v>159</v>
      </c>
      <c r="C160">
        <v>17</v>
      </c>
      <c r="E160" s="23">
        <v>8</v>
      </c>
      <c r="F160" s="23">
        <v>5</v>
      </c>
      <c r="G160" t="s">
        <v>59</v>
      </c>
      <c r="H160" t="s">
        <v>304</v>
      </c>
      <c r="I160" t="s">
        <v>210</v>
      </c>
      <c r="J160" s="14">
        <f t="shared" si="10"/>
        <v>209.8</v>
      </c>
      <c r="K160">
        <v>1300</v>
      </c>
      <c r="N160" t="s">
        <v>54</v>
      </c>
      <c r="Q160">
        <v>5</v>
      </c>
      <c r="W160" t="s">
        <v>406</v>
      </c>
      <c r="X160" s="24" t="s">
        <v>40</v>
      </c>
      <c r="Y160" t="s">
        <v>40</v>
      </c>
      <c r="AA160">
        <f t="shared" si="11"/>
        <v>20.98</v>
      </c>
      <c r="AB160" s="21">
        <v>65.900000000000006</v>
      </c>
      <c r="AC160">
        <f t="shared" si="13"/>
        <v>0.3410834997984073</v>
      </c>
      <c r="AI160" t="e">
        <f>IF(Y160="Yes",NA(),#REF!)</f>
        <v>#N/A</v>
      </c>
      <c r="AJ160" t="e">
        <f>IF(Y160="Yes",NA(),#REF!)</f>
        <v>#N/A</v>
      </c>
      <c r="AK160" t="e">
        <f>IF(Y160="Yes",NA(),#REF!)</f>
        <v>#N/A</v>
      </c>
    </row>
    <row r="161" spans="1:37" x14ac:dyDescent="0.35">
      <c r="A161" s="12">
        <v>160</v>
      </c>
      <c r="C161">
        <v>17</v>
      </c>
      <c r="E161" s="2">
        <v>9</v>
      </c>
      <c r="F161" s="2">
        <v>5</v>
      </c>
      <c r="G161" t="s">
        <v>242</v>
      </c>
      <c r="H161" s="20" t="s">
        <v>243</v>
      </c>
      <c r="J161" s="14">
        <f t="shared" si="10"/>
        <v>303</v>
      </c>
      <c r="K161">
        <v>1300</v>
      </c>
      <c r="N161" t="s">
        <v>61</v>
      </c>
      <c r="Q161">
        <v>5</v>
      </c>
      <c r="U161">
        <v>4</v>
      </c>
      <c r="W161" t="s">
        <v>407</v>
      </c>
      <c r="X161" s="24" t="s">
        <v>40</v>
      </c>
      <c r="Y161" t="s">
        <v>40</v>
      </c>
      <c r="Z161" t="s">
        <v>408</v>
      </c>
      <c r="AA161">
        <f t="shared" si="11"/>
        <v>30.3</v>
      </c>
      <c r="AB161" s="21">
        <v>95.2</v>
      </c>
      <c r="AC161">
        <f t="shared" si="13"/>
        <v>0.71180949707976093</v>
      </c>
      <c r="AI161" t="e">
        <f>IF(Y161="Yes",NA(),#REF!)</f>
        <v>#N/A</v>
      </c>
      <c r="AJ161" t="e">
        <f>IF(Y161="Yes",NA(),#REF!)</f>
        <v>#N/A</v>
      </c>
      <c r="AK161" t="e">
        <f>IF(Y161="Yes",NA(),#REF!)</f>
        <v>#N/A</v>
      </c>
    </row>
    <row r="162" spans="1:37" x14ac:dyDescent="0.35">
      <c r="A162" s="12">
        <v>161</v>
      </c>
      <c r="C162">
        <v>17</v>
      </c>
      <c r="E162" s="2">
        <v>5</v>
      </c>
      <c r="F162" s="2" t="s">
        <v>92</v>
      </c>
      <c r="G162" t="s">
        <v>404</v>
      </c>
      <c r="H162" t="s">
        <v>409</v>
      </c>
      <c r="J162" s="14">
        <f t="shared" si="10"/>
        <v>132.4</v>
      </c>
      <c r="K162">
        <v>1300</v>
      </c>
      <c r="N162" t="s">
        <v>54</v>
      </c>
      <c r="Q162" t="s">
        <v>38</v>
      </c>
      <c r="U162">
        <v>3</v>
      </c>
      <c r="W162" t="s">
        <v>410</v>
      </c>
      <c r="X162" s="24" t="s">
        <v>40</v>
      </c>
      <c r="Y162" t="s">
        <v>40</v>
      </c>
      <c r="AA162">
        <f t="shared" si="11"/>
        <v>13.24</v>
      </c>
      <c r="AB162" s="22">
        <v>41.6</v>
      </c>
      <c r="AC162">
        <f t="shared" si="13"/>
        <v>0.13591786456490881</v>
      </c>
      <c r="AI162" t="e">
        <f>IF(Y162="Yes",NA(),#REF!)</f>
        <v>#N/A</v>
      </c>
      <c r="AJ162" t="e">
        <f>IF(Y162="Yes",NA(),#REF!)</f>
        <v>#N/A</v>
      </c>
      <c r="AK162" t="e">
        <f>IF(Y162="Yes",NA(),#REF!)</f>
        <v>#N/A</v>
      </c>
    </row>
    <row r="163" spans="1:37" x14ac:dyDescent="0.35">
      <c r="A163" s="12">
        <v>162</v>
      </c>
      <c r="C163">
        <v>17</v>
      </c>
      <c r="E163" s="23">
        <v>2</v>
      </c>
      <c r="F163" s="23">
        <v>2</v>
      </c>
      <c r="G163" t="s">
        <v>66</v>
      </c>
      <c r="H163" t="s">
        <v>323</v>
      </c>
      <c r="I163" t="s">
        <v>411</v>
      </c>
      <c r="J163" s="14">
        <f t="shared" si="10"/>
        <v>353.29999999999995</v>
      </c>
      <c r="K163">
        <v>1300</v>
      </c>
      <c r="N163" t="s">
        <v>246</v>
      </c>
      <c r="Q163">
        <v>4</v>
      </c>
      <c r="U163">
        <v>4</v>
      </c>
      <c r="W163" t="s">
        <v>412</v>
      </c>
      <c r="X163" s="24" t="s">
        <v>40</v>
      </c>
      <c r="Y163" t="s">
        <v>40</v>
      </c>
      <c r="AA163">
        <f t="shared" si="11"/>
        <v>35.33</v>
      </c>
      <c r="AB163" s="21">
        <v>111</v>
      </c>
      <c r="AC163">
        <f t="shared" si="13"/>
        <v>0.96768907712199603</v>
      </c>
      <c r="AI163" t="e">
        <f>IF(Y163="Yes",NA(),#REF!)</f>
        <v>#N/A</v>
      </c>
      <c r="AJ163" t="e">
        <f>IF(Y163="Yes",NA(),#REF!)</f>
        <v>#N/A</v>
      </c>
      <c r="AK163" t="e">
        <f>IF(Y163="Yes",NA(),#REF!)</f>
        <v>#N/A</v>
      </c>
    </row>
    <row r="164" spans="1:37" x14ac:dyDescent="0.35">
      <c r="A164" s="12">
        <v>163</v>
      </c>
      <c r="C164">
        <v>17</v>
      </c>
      <c r="E164" s="2">
        <v>2</v>
      </c>
      <c r="F164" s="2">
        <v>3</v>
      </c>
      <c r="G164" t="s">
        <v>112</v>
      </c>
      <c r="H164" t="s">
        <v>141</v>
      </c>
      <c r="I164" t="s">
        <v>413</v>
      </c>
      <c r="J164" s="14">
        <f t="shared" si="10"/>
        <v>124.5</v>
      </c>
      <c r="K164">
        <v>1300</v>
      </c>
      <c r="N164" t="s">
        <v>54</v>
      </c>
      <c r="Q164" t="s">
        <v>134</v>
      </c>
      <c r="U164">
        <v>2</v>
      </c>
      <c r="W164" t="s">
        <v>414</v>
      </c>
      <c r="X164" s="24" t="s">
        <v>40</v>
      </c>
      <c r="Y164" t="s">
        <v>40</v>
      </c>
      <c r="AA164">
        <f t="shared" si="11"/>
        <v>12.45</v>
      </c>
      <c r="AB164" s="22">
        <v>39.1</v>
      </c>
      <c r="AC164">
        <f t="shared" si="13"/>
        <v>0.1200724566183653</v>
      </c>
      <c r="AI164" t="e">
        <f>IF(Y164="Yes",NA(),#REF!)</f>
        <v>#N/A</v>
      </c>
      <c r="AJ164" t="e">
        <f>IF(Y164="Yes",NA(),#REF!)</f>
        <v>#N/A</v>
      </c>
      <c r="AK164" t="e">
        <f>IF(Y164="Yes",NA(),#REF!)</f>
        <v>#N/A</v>
      </c>
    </row>
    <row r="165" spans="1:37" x14ac:dyDescent="0.35">
      <c r="A165" s="12">
        <v>164</v>
      </c>
      <c r="C165">
        <v>17</v>
      </c>
      <c r="E165" s="2">
        <v>0</v>
      </c>
      <c r="F165" s="2">
        <v>1</v>
      </c>
      <c r="G165" t="s">
        <v>34</v>
      </c>
      <c r="H165" t="s">
        <v>35</v>
      </c>
      <c r="I165" t="s">
        <v>228</v>
      </c>
      <c r="J165" s="14">
        <f t="shared" si="10"/>
        <v>165.5</v>
      </c>
      <c r="K165">
        <v>1300</v>
      </c>
      <c r="N165" t="s">
        <v>54</v>
      </c>
      <c r="Q165" t="s">
        <v>38</v>
      </c>
      <c r="U165">
        <v>3</v>
      </c>
      <c r="W165" t="s">
        <v>415</v>
      </c>
      <c r="X165" t="s">
        <v>40</v>
      </c>
      <c r="Y165" t="s">
        <v>40</v>
      </c>
      <c r="AA165">
        <f t="shared" si="11"/>
        <v>16.55</v>
      </c>
      <c r="AB165" s="22">
        <v>52</v>
      </c>
      <c r="AC165">
        <f t="shared" si="13"/>
        <v>0.21237166338267002</v>
      </c>
      <c r="AI165" t="e">
        <f>IF(Y165="Yes",NA(),#REF!)</f>
        <v>#N/A</v>
      </c>
      <c r="AJ165" t="e">
        <f>IF(Y165="Yes",NA(),#REF!)</f>
        <v>#N/A</v>
      </c>
      <c r="AK165" t="e">
        <f>IF(Y165="Yes",NA(),#REF!)</f>
        <v>#N/A</v>
      </c>
    </row>
    <row r="166" spans="1:37" ht="19.5" customHeight="1" x14ac:dyDescent="0.35">
      <c r="A166" s="12">
        <v>165</v>
      </c>
      <c r="C166">
        <v>18</v>
      </c>
      <c r="E166" s="2">
        <v>9</v>
      </c>
      <c r="F166" s="2">
        <v>8</v>
      </c>
      <c r="G166" t="s">
        <v>47</v>
      </c>
      <c r="H166" t="s">
        <v>328</v>
      </c>
      <c r="J166" s="14">
        <f t="shared" si="10"/>
        <v>349.20000000000005</v>
      </c>
      <c r="K166">
        <v>1600</v>
      </c>
      <c r="N166" t="s">
        <v>54</v>
      </c>
      <c r="Q166">
        <v>5</v>
      </c>
      <c r="U166">
        <v>3</v>
      </c>
      <c r="W166" t="s">
        <v>416</v>
      </c>
      <c r="X166" t="s">
        <v>40</v>
      </c>
      <c r="Y166" t="s">
        <v>40</v>
      </c>
      <c r="AA166">
        <f t="shared" si="11"/>
        <v>34.92</v>
      </c>
      <c r="AB166" s="22">
        <v>109.7</v>
      </c>
      <c r="AC166">
        <f t="shared" si="13"/>
        <v>0.94515521841595984</v>
      </c>
      <c r="AI166" t="e">
        <f>IF(Y166="Yes",NA(),#REF!)</f>
        <v>#N/A</v>
      </c>
      <c r="AJ166" t="e">
        <f>IF(Y166="Yes",NA(),#REF!)</f>
        <v>#N/A</v>
      </c>
      <c r="AK166" t="e">
        <f>IF(Y166="Yes",NA(),#REF!)</f>
        <v>#N/A</v>
      </c>
    </row>
    <row r="167" spans="1:37" x14ac:dyDescent="0.35">
      <c r="A167" s="12">
        <v>166</v>
      </c>
      <c r="C167">
        <v>18</v>
      </c>
      <c r="E167" s="2">
        <v>5</v>
      </c>
      <c r="F167" s="2">
        <v>4</v>
      </c>
      <c r="G167" t="s">
        <v>66</v>
      </c>
      <c r="H167" t="s">
        <v>417</v>
      </c>
      <c r="J167" s="14">
        <f t="shared" si="10"/>
        <v>127</v>
      </c>
      <c r="K167">
        <v>1300</v>
      </c>
      <c r="N167" t="s">
        <v>54</v>
      </c>
      <c r="Q167">
        <v>1</v>
      </c>
      <c r="U167">
        <v>5</v>
      </c>
      <c r="W167" t="s">
        <v>418</v>
      </c>
      <c r="X167" t="s">
        <v>40</v>
      </c>
      <c r="Y167" t="s">
        <v>40</v>
      </c>
      <c r="AA167">
        <f t="shared" si="11"/>
        <v>12.7</v>
      </c>
      <c r="AB167" s="22">
        <v>39.9</v>
      </c>
      <c r="AC167">
        <f t="shared" si="13"/>
        <v>0.12503617301103717</v>
      </c>
      <c r="AI167" t="e">
        <f>IF(Y167="Yes",NA(),#REF!)</f>
        <v>#N/A</v>
      </c>
      <c r="AJ167" t="e">
        <f>IF(Y167="Yes",NA(),#REF!)</f>
        <v>#N/A</v>
      </c>
      <c r="AK167" t="e">
        <f>IF(Y167="Yes",NA(),#REF!)</f>
        <v>#N/A</v>
      </c>
    </row>
    <row r="168" spans="1:37" x14ac:dyDescent="0.35">
      <c r="A168" s="12">
        <v>167</v>
      </c>
      <c r="C168">
        <v>18</v>
      </c>
      <c r="E168" s="2" t="s">
        <v>51</v>
      </c>
      <c r="F168" s="2">
        <v>8</v>
      </c>
      <c r="G168" t="s">
        <v>63</v>
      </c>
      <c r="H168" t="s">
        <v>64</v>
      </c>
      <c r="J168" s="14">
        <f t="shared" si="10"/>
        <v>132.69999999999999</v>
      </c>
      <c r="K168">
        <v>1300</v>
      </c>
      <c r="N168" t="s">
        <v>54</v>
      </c>
      <c r="Q168">
        <v>1</v>
      </c>
      <c r="W168" t="s">
        <v>419</v>
      </c>
      <c r="AA168">
        <f t="shared" si="11"/>
        <v>13.27</v>
      </c>
      <c r="AB168" s="21">
        <v>41.7</v>
      </c>
      <c r="AC168">
        <f t="shared" si="13"/>
        <v>0.13657210123501892</v>
      </c>
      <c r="AI168" t="e">
        <f>IF(Y168="Yes",NA(),#REF!)</f>
        <v>#REF!</v>
      </c>
      <c r="AJ168" t="e">
        <f>IF(Y168="Yes",NA(),#REF!)</f>
        <v>#REF!</v>
      </c>
      <c r="AK168" t="e">
        <f>IF(Y168="Yes",NA(),#REF!)</f>
        <v>#REF!</v>
      </c>
    </row>
    <row r="169" spans="1:37" x14ac:dyDescent="0.35">
      <c r="A169" s="12">
        <v>168</v>
      </c>
      <c r="C169">
        <v>18</v>
      </c>
      <c r="E169" s="2" t="s">
        <v>51</v>
      </c>
      <c r="F169" s="2">
        <v>4</v>
      </c>
      <c r="G169" t="s">
        <v>242</v>
      </c>
      <c r="H169" s="20" t="s">
        <v>243</v>
      </c>
      <c r="J169" s="14">
        <f t="shared" si="10"/>
        <v>345</v>
      </c>
      <c r="K169">
        <v>1300</v>
      </c>
      <c r="N169" t="s">
        <v>61</v>
      </c>
      <c r="Q169">
        <v>5</v>
      </c>
      <c r="U169">
        <v>3</v>
      </c>
      <c r="W169" t="s">
        <v>420</v>
      </c>
      <c r="X169" t="s">
        <v>40</v>
      </c>
      <c r="Y169" t="s">
        <v>40</v>
      </c>
      <c r="AA169">
        <f t="shared" si="11"/>
        <v>34.5</v>
      </c>
      <c r="AB169" s="21">
        <v>108.4</v>
      </c>
      <c r="AC169">
        <f t="shared" si="13"/>
        <v>0.92288682428915203</v>
      </c>
      <c r="AI169" t="e">
        <f>IF(Y169="Yes",NA(),#REF!)</f>
        <v>#N/A</v>
      </c>
      <c r="AJ169" t="e">
        <f>IF(Y169="Yes",NA(),#REF!)</f>
        <v>#N/A</v>
      </c>
      <c r="AK169" t="e">
        <f>IF(Y169="Yes",NA(),#REF!)</f>
        <v>#N/A</v>
      </c>
    </row>
    <row r="170" spans="1:37" x14ac:dyDescent="0.35">
      <c r="A170" s="12">
        <v>169</v>
      </c>
      <c r="C170">
        <v>18</v>
      </c>
      <c r="E170" s="2" t="s">
        <v>51</v>
      </c>
      <c r="F170" s="2">
        <v>0</v>
      </c>
      <c r="G170" t="s">
        <v>213</v>
      </c>
      <c r="H170" t="s">
        <v>214</v>
      </c>
      <c r="J170" s="14">
        <f t="shared" si="10"/>
        <v>485.4</v>
      </c>
      <c r="K170">
        <v>1300</v>
      </c>
      <c r="N170" t="s">
        <v>54</v>
      </c>
      <c r="Q170">
        <v>5</v>
      </c>
      <c r="U170">
        <v>3</v>
      </c>
      <c r="W170" t="s">
        <v>421</v>
      </c>
      <c r="X170" t="s">
        <v>40</v>
      </c>
      <c r="Y170" t="s">
        <v>40</v>
      </c>
      <c r="AA170">
        <f t="shared" si="11"/>
        <v>48.54</v>
      </c>
      <c r="AB170" s="22">
        <v>152.5</v>
      </c>
      <c r="AC170">
        <f t="shared" si="13"/>
        <v>1.8265416037511906</v>
      </c>
      <c r="AI170" t="e">
        <f>IF(Y170="Yes",NA(),#REF!)</f>
        <v>#N/A</v>
      </c>
      <c r="AJ170" t="e">
        <f>IF(Y170="Yes",NA(),#REF!)</f>
        <v>#N/A</v>
      </c>
      <c r="AK170" t="e">
        <f>IF(Y170="Yes",NA(),#REF!)</f>
        <v>#N/A</v>
      </c>
    </row>
    <row r="171" spans="1:37" x14ac:dyDescent="0.35">
      <c r="A171" s="12">
        <v>170</v>
      </c>
      <c r="C171">
        <v>18</v>
      </c>
      <c r="E171" s="2">
        <v>2</v>
      </c>
      <c r="F171" s="2">
        <v>4</v>
      </c>
      <c r="G171" t="s">
        <v>34</v>
      </c>
      <c r="H171" t="s">
        <v>35</v>
      </c>
      <c r="I171" t="s">
        <v>228</v>
      </c>
      <c r="J171" s="14">
        <f t="shared" si="10"/>
        <v>194.20000000000002</v>
      </c>
      <c r="K171">
        <v>1300</v>
      </c>
      <c r="N171" t="s">
        <v>54</v>
      </c>
      <c r="Q171" t="s">
        <v>38</v>
      </c>
      <c r="U171">
        <v>3</v>
      </c>
      <c r="W171" t="s">
        <v>422</v>
      </c>
      <c r="X171" t="s">
        <v>40</v>
      </c>
      <c r="Y171" t="s">
        <v>40</v>
      </c>
      <c r="AA171">
        <f t="shared" si="11"/>
        <v>19.420000000000002</v>
      </c>
      <c r="AB171" s="22">
        <v>61</v>
      </c>
      <c r="AC171">
        <f t="shared" si="13"/>
        <v>0.2922466566001905</v>
      </c>
      <c r="AI171" t="e">
        <f>IF(Y171="Yes",NA(),#REF!)</f>
        <v>#N/A</v>
      </c>
      <c r="AJ171" t="e">
        <f>IF(Y171="Yes",NA(),#REF!)</f>
        <v>#N/A</v>
      </c>
      <c r="AK171" t="e">
        <f>IF(Y171="Yes",NA(),#REF!)</f>
        <v>#N/A</v>
      </c>
    </row>
    <row r="172" spans="1:37" x14ac:dyDescent="0.35">
      <c r="A172" s="12">
        <v>171</v>
      </c>
      <c r="C172">
        <v>18</v>
      </c>
      <c r="E172" s="2" t="s">
        <v>92</v>
      </c>
      <c r="F172" s="2" t="s">
        <v>174</v>
      </c>
      <c r="G172" t="s">
        <v>59</v>
      </c>
      <c r="H172" t="s">
        <v>423</v>
      </c>
      <c r="J172" s="14">
        <f t="shared" si="10"/>
        <v>174.4</v>
      </c>
      <c r="K172">
        <v>1300</v>
      </c>
      <c r="N172" t="s">
        <v>54</v>
      </c>
      <c r="Q172">
        <v>4</v>
      </c>
      <c r="U172">
        <v>3</v>
      </c>
      <c r="W172" t="s">
        <v>424</v>
      </c>
      <c r="X172" t="s">
        <v>40</v>
      </c>
      <c r="Y172" t="s">
        <v>40</v>
      </c>
      <c r="AA172">
        <f t="shared" si="11"/>
        <v>17.440000000000001</v>
      </c>
      <c r="AB172" s="21">
        <v>54.8</v>
      </c>
      <c r="AC172">
        <f t="shared" si="13"/>
        <v>0.23585821006090726</v>
      </c>
      <c r="AI172" t="e">
        <f>IF(Y172="Yes",NA(),#REF!)</f>
        <v>#N/A</v>
      </c>
      <c r="AJ172" t="e">
        <f>IF(Y172="Yes",NA(),#REF!)</f>
        <v>#N/A</v>
      </c>
      <c r="AK172" t="e">
        <f>IF(Y172="Yes",NA(),#REF!)</f>
        <v>#N/A</v>
      </c>
    </row>
    <row r="173" spans="1:37" x14ac:dyDescent="0.35">
      <c r="A173" s="12">
        <v>172</v>
      </c>
      <c r="C173">
        <v>19</v>
      </c>
      <c r="E173" s="2">
        <v>1</v>
      </c>
      <c r="F173" s="2" t="s">
        <v>52</v>
      </c>
      <c r="G173" t="s">
        <v>34</v>
      </c>
      <c r="H173" t="s">
        <v>35</v>
      </c>
      <c r="I173" t="s">
        <v>228</v>
      </c>
      <c r="J173" s="14">
        <f t="shared" si="10"/>
        <v>122.89999999999999</v>
      </c>
      <c r="K173">
        <v>1300</v>
      </c>
      <c r="N173" t="s">
        <v>54</v>
      </c>
      <c r="Q173" t="s">
        <v>38</v>
      </c>
      <c r="U173">
        <v>3</v>
      </c>
      <c r="W173" t="s">
        <v>425</v>
      </c>
      <c r="Y173" t="s">
        <v>426</v>
      </c>
      <c r="AA173">
        <f t="shared" si="11"/>
        <v>12.29</v>
      </c>
      <c r="AB173" s="22">
        <v>38.6</v>
      </c>
      <c r="AC173">
        <f t="shared" si="13"/>
        <v>0.11702118475356622</v>
      </c>
      <c r="AI173" t="e">
        <f>IF(Y173="Yes",NA(),#REF!)</f>
        <v>#N/A</v>
      </c>
      <c r="AJ173" t="e">
        <f>IF(Y173="Yes",NA(),#REF!)</f>
        <v>#N/A</v>
      </c>
      <c r="AK173" t="e">
        <f>IF(Y173="Yes",NA(),#REF!)</f>
        <v>#N/A</v>
      </c>
    </row>
    <row r="174" spans="1:37" x14ac:dyDescent="0.35">
      <c r="A174" s="12">
        <v>173</v>
      </c>
      <c r="C174">
        <v>19</v>
      </c>
      <c r="E174" s="2">
        <v>3</v>
      </c>
      <c r="F174" s="2">
        <v>7</v>
      </c>
      <c r="G174" t="s">
        <v>114</v>
      </c>
      <c r="H174" t="s">
        <v>35</v>
      </c>
      <c r="I174" t="s">
        <v>276</v>
      </c>
      <c r="J174" s="14">
        <f t="shared" si="10"/>
        <v>154.70000000000002</v>
      </c>
      <c r="K174">
        <v>1300</v>
      </c>
      <c r="N174" t="s">
        <v>54</v>
      </c>
      <c r="Q174" t="s">
        <v>38</v>
      </c>
      <c r="U174">
        <v>2</v>
      </c>
      <c r="W174" t="s">
        <v>427</v>
      </c>
      <c r="X174" t="s">
        <v>40</v>
      </c>
      <c r="Y174" t="s">
        <v>40</v>
      </c>
      <c r="Z174" t="s">
        <v>428</v>
      </c>
      <c r="AA174">
        <f t="shared" si="11"/>
        <v>15.47</v>
      </c>
      <c r="AB174" s="22">
        <v>48.6</v>
      </c>
      <c r="AC174">
        <f t="shared" si="13"/>
        <v>0.1855079046018237</v>
      </c>
      <c r="AI174" t="e">
        <f>IF(Y174="Yes",NA(),#REF!)</f>
        <v>#N/A</v>
      </c>
      <c r="AJ174" t="e">
        <f>IF(Y174="Yes",NA(),#REF!)</f>
        <v>#N/A</v>
      </c>
      <c r="AK174" t="e">
        <f>IF(Y174="Yes",NA(),#REF!)</f>
        <v>#N/A</v>
      </c>
    </row>
    <row r="175" spans="1:37" x14ac:dyDescent="0.35">
      <c r="A175" s="12">
        <v>174</v>
      </c>
      <c r="C175">
        <v>19</v>
      </c>
      <c r="E175" s="2">
        <v>3</v>
      </c>
      <c r="F175" s="2">
        <v>5</v>
      </c>
      <c r="G175" t="s">
        <v>202</v>
      </c>
      <c r="H175" t="s">
        <v>203</v>
      </c>
      <c r="J175" s="14">
        <f t="shared" si="10"/>
        <v>106.6</v>
      </c>
      <c r="K175">
        <v>1300</v>
      </c>
      <c r="N175" t="s">
        <v>54</v>
      </c>
      <c r="Q175" t="s">
        <v>38</v>
      </c>
      <c r="U175">
        <v>3</v>
      </c>
      <c r="W175" t="s">
        <v>429</v>
      </c>
      <c r="Y175" t="s">
        <v>426</v>
      </c>
      <c r="AA175">
        <f t="shared" si="11"/>
        <v>10.66</v>
      </c>
      <c r="AB175" s="22">
        <v>33.5</v>
      </c>
      <c r="AC175">
        <f t="shared" si="13"/>
        <v>8.8141308887278627E-2</v>
      </c>
      <c r="AI175" t="e">
        <f>IF(Y175="Yes",NA(),#REF!)</f>
        <v>#N/A</v>
      </c>
      <c r="AJ175" t="e">
        <f>IF(Y175="Yes",NA(),#REF!)</f>
        <v>#N/A</v>
      </c>
      <c r="AK175" t="e">
        <f>IF(Y175="Yes",NA(),#REF!)</f>
        <v>#N/A</v>
      </c>
    </row>
    <row r="176" spans="1:37" x14ac:dyDescent="0.35">
      <c r="A176" s="12">
        <v>175</v>
      </c>
      <c r="C176">
        <v>19</v>
      </c>
      <c r="E176" s="2">
        <v>8</v>
      </c>
      <c r="F176" s="2" t="s">
        <v>52</v>
      </c>
      <c r="G176" t="s">
        <v>47</v>
      </c>
      <c r="H176" t="s">
        <v>48</v>
      </c>
      <c r="I176" t="s">
        <v>276</v>
      </c>
      <c r="J176" s="14">
        <f t="shared" si="10"/>
        <v>140.69999999999999</v>
      </c>
      <c r="K176">
        <v>1300</v>
      </c>
      <c r="N176" t="s">
        <v>54</v>
      </c>
      <c r="Q176" t="s">
        <v>38</v>
      </c>
      <c r="U176">
        <v>2</v>
      </c>
      <c r="W176" t="s">
        <v>430</v>
      </c>
      <c r="X176" t="s">
        <v>40</v>
      </c>
      <c r="Y176" t="s">
        <v>40</v>
      </c>
      <c r="AA176">
        <f t="shared" si="11"/>
        <v>14.07</v>
      </c>
      <c r="AB176" s="22">
        <v>44.2</v>
      </c>
      <c r="AC176">
        <f t="shared" si="13"/>
        <v>0.15343852679397912</v>
      </c>
      <c r="AI176" t="e">
        <f>IF(Y176="Yes",NA(),#REF!)</f>
        <v>#N/A</v>
      </c>
      <c r="AJ176" t="e">
        <f>IF(Y176="Yes",NA(),#REF!)</f>
        <v>#N/A</v>
      </c>
      <c r="AK176" t="e">
        <f>IF(Y176="Yes",NA(),#REF!)</f>
        <v>#N/A</v>
      </c>
    </row>
    <row r="177" spans="1:37" x14ac:dyDescent="0.35">
      <c r="A177" s="12">
        <v>176</v>
      </c>
      <c r="C177">
        <v>19</v>
      </c>
      <c r="E177" s="23">
        <v>8</v>
      </c>
      <c r="F177" s="23" t="s">
        <v>58</v>
      </c>
      <c r="G177" t="s">
        <v>66</v>
      </c>
      <c r="H177" t="s">
        <v>323</v>
      </c>
      <c r="I177" t="s">
        <v>324</v>
      </c>
      <c r="J177" s="14">
        <f t="shared" si="10"/>
        <v>299.8</v>
      </c>
      <c r="K177">
        <v>1300</v>
      </c>
      <c r="N177" t="s">
        <v>246</v>
      </c>
      <c r="Q177">
        <v>4</v>
      </c>
      <c r="W177" t="s">
        <v>431</v>
      </c>
      <c r="X177" t="s">
        <v>40</v>
      </c>
      <c r="Y177" t="s">
        <v>40</v>
      </c>
      <c r="AA177">
        <f t="shared" si="11"/>
        <v>29.98</v>
      </c>
      <c r="AB177" s="21">
        <v>94.2</v>
      </c>
      <c r="AC177">
        <f t="shared" si="13"/>
        <v>0.69693405586501334</v>
      </c>
      <c r="AI177" t="e">
        <f>IF(Y177="Yes",NA(),#REF!)</f>
        <v>#N/A</v>
      </c>
      <c r="AJ177" t="e">
        <f>IF(Y177="Yes",NA(),#REF!)</f>
        <v>#N/A</v>
      </c>
      <c r="AK177" t="e">
        <f>IF(Y177="Yes",NA(),#REF!)</f>
        <v>#N/A</v>
      </c>
    </row>
    <row r="178" spans="1:37" x14ac:dyDescent="0.35">
      <c r="A178" s="12">
        <v>177</v>
      </c>
      <c r="C178">
        <v>19</v>
      </c>
      <c r="E178" s="2" t="s">
        <v>58</v>
      </c>
      <c r="F178" s="2" t="s">
        <v>432</v>
      </c>
      <c r="G178" t="s">
        <v>63</v>
      </c>
      <c r="H178" t="s">
        <v>64</v>
      </c>
      <c r="J178" s="14">
        <f t="shared" si="10"/>
        <v>121.6</v>
      </c>
      <c r="K178">
        <v>1300</v>
      </c>
      <c r="N178" t="s">
        <v>54</v>
      </c>
      <c r="Q178">
        <v>4</v>
      </c>
      <c r="W178" t="s">
        <v>433</v>
      </c>
      <c r="AA178">
        <f t="shared" si="11"/>
        <v>12.16</v>
      </c>
      <c r="AB178" s="21">
        <v>38.200000000000003</v>
      </c>
      <c r="AC178">
        <f t="shared" si="13"/>
        <v>0.11460844159560928</v>
      </c>
      <c r="AI178" t="e">
        <f>IF(Y178="Yes",NA(),#REF!)</f>
        <v>#REF!</v>
      </c>
      <c r="AJ178" t="e">
        <f>IF(Y178="Yes",NA(),#REF!)</f>
        <v>#REF!</v>
      </c>
      <c r="AK178" t="e">
        <f>IF(Y178="Yes",NA(),#REF!)</f>
        <v>#REF!</v>
      </c>
    </row>
    <row r="179" spans="1:37" x14ac:dyDescent="0.35">
      <c r="A179" s="12">
        <v>178</v>
      </c>
      <c r="C179">
        <v>19</v>
      </c>
      <c r="E179" s="2">
        <v>6</v>
      </c>
      <c r="F179" s="2">
        <v>1</v>
      </c>
      <c r="G179" t="s">
        <v>63</v>
      </c>
      <c r="H179" t="s">
        <v>64</v>
      </c>
      <c r="J179" s="14">
        <f t="shared" si="10"/>
        <v>111.7</v>
      </c>
      <c r="K179">
        <v>1300</v>
      </c>
      <c r="N179" t="s">
        <v>54</v>
      </c>
      <c r="Q179">
        <v>4</v>
      </c>
      <c r="W179" t="s">
        <v>434</v>
      </c>
      <c r="AA179">
        <f t="shared" si="11"/>
        <v>11.17</v>
      </c>
      <c r="AB179" s="21">
        <v>35.1</v>
      </c>
      <c r="AC179">
        <f t="shared" si="13"/>
        <v>9.676183912872903E-2</v>
      </c>
      <c r="AI179" t="e">
        <f>IF(Y179="Yes",NA(),#REF!)</f>
        <v>#REF!</v>
      </c>
      <c r="AJ179" t="e">
        <f>IF(Y179="Yes",NA(),#REF!)</f>
        <v>#REF!</v>
      </c>
      <c r="AK179" t="e">
        <f>IF(Y179="Yes",NA(),#REF!)</f>
        <v>#REF!</v>
      </c>
    </row>
    <row r="180" spans="1:37" x14ac:dyDescent="0.35">
      <c r="A180" s="12">
        <v>179</v>
      </c>
      <c r="C180">
        <v>19</v>
      </c>
      <c r="E180" s="2">
        <v>5</v>
      </c>
      <c r="F180" s="2">
        <v>1</v>
      </c>
      <c r="G180" t="s">
        <v>63</v>
      </c>
      <c r="H180" t="s">
        <v>64</v>
      </c>
      <c r="J180" s="14">
        <f t="shared" si="10"/>
        <v>147.10000000000002</v>
      </c>
      <c r="K180">
        <v>1300</v>
      </c>
      <c r="N180" t="s">
        <v>435</v>
      </c>
      <c r="Q180">
        <v>5</v>
      </c>
      <c r="W180" t="s">
        <v>436</v>
      </c>
      <c r="AA180">
        <f t="shared" si="11"/>
        <v>14.71</v>
      </c>
      <c r="AB180" s="21">
        <v>46.2</v>
      </c>
      <c r="AC180">
        <f t="shared" si="13"/>
        <v>0.16763852558820494</v>
      </c>
      <c r="AI180" t="e">
        <f>IF(Y180="Yes",NA(),#REF!)</f>
        <v>#REF!</v>
      </c>
      <c r="AJ180" t="e">
        <f>IF(Y180="Yes",NA(),#REF!)</f>
        <v>#REF!</v>
      </c>
      <c r="AK180" t="e">
        <f>IF(Y180="Yes",NA(),#REF!)</f>
        <v>#REF!</v>
      </c>
    </row>
    <row r="181" spans="1:37" x14ac:dyDescent="0.35">
      <c r="A181" s="12">
        <v>180</v>
      </c>
      <c r="C181">
        <v>19</v>
      </c>
      <c r="E181" s="2">
        <v>4</v>
      </c>
      <c r="F181" s="2" t="s">
        <v>111</v>
      </c>
      <c r="G181" t="s">
        <v>104</v>
      </c>
      <c r="H181" t="s">
        <v>437</v>
      </c>
      <c r="I181" t="s">
        <v>36</v>
      </c>
      <c r="J181" s="14">
        <f t="shared" si="10"/>
        <v>362.9</v>
      </c>
      <c r="K181">
        <v>1300</v>
      </c>
      <c r="N181" t="s">
        <v>54</v>
      </c>
      <c r="Q181">
        <v>5</v>
      </c>
      <c r="U181">
        <v>3</v>
      </c>
      <c r="W181" t="s">
        <v>438</v>
      </c>
      <c r="X181" t="s">
        <v>40</v>
      </c>
      <c r="Y181" t="s">
        <v>40</v>
      </c>
      <c r="AA181">
        <f t="shared" si="11"/>
        <v>36.29</v>
      </c>
      <c r="AB181" s="22">
        <v>114</v>
      </c>
      <c r="AC181">
        <f t="shared" si="13"/>
        <v>1.0207034531513237</v>
      </c>
      <c r="AI181" t="e">
        <f>IF(Y181="Yes",NA(),#REF!)</f>
        <v>#N/A</v>
      </c>
      <c r="AJ181" t="e">
        <f>IF(Y181="Yes",NA(),#REF!)</f>
        <v>#N/A</v>
      </c>
      <c r="AK181" t="e">
        <f>IF(Y181="Yes",NA(),#REF!)</f>
        <v>#N/A</v>
      </c>
    </row>
    <row r="182" spans="1:37" x14ac:dyDescent="0.35">
      <c r="A182" s="12">
        <v>181</v>
      </c>
      <c r="C182">
        <v>19</v>
      </c>
      <c r="E182" s="2" t="s">
        <v>111</v>
      </c>
      <c r="F182" s="2">
        <v>4</v>
      </c>
      <c r="G182" t="s">
        <v>89</v>
      </c>
      <c r="H182" t="s">
        <v>90</v>
      </c>
      <c r="J182" s="14">
        <f t="shared" si="10"/>
        <v>187.8</v>
      </c>
      <c r="K182">
        <v>1300</v>
      </c>
      <c r="N182" t="s">
        <v>54</v>
      </c>
      <c r="Q182">
        <v>5</v>
      </c>
      <c r="U182">
        <v>3</v>
      </c>
      <c r="W182" t="s">
        <v>439</v>
      </c>
      <c r="X182" t="s">
        <v>40</v>
      </c>
      <c r="Y182" t="s">
        <v>40</v>
      </c>
      <c r="AA182">
        <f t="shared" si="11"/>
        <v>18.78</v>
      </c>
      <c r="AB182" s="22">
        <v>59</v>
      </c>
      <c r="AC182">
        <f t="shared" si="13"/>
        <v>0.27339710067865175</v>
      </c>
      <c r="AI182" t="e">
        <f>IF(Y182="Yes",NA(),#REF!)</f>
        <v>#N/A</v>
      </c>
      <c r="AJ182" t="e">
        <f>IF(Y182="Yes",NA(),#REF!)</f>
        <v>#N/A</v>
      </c>
      <c r="AK182" t="e">
        <f>IF(Y182="Yes",NA(),#REF!)</f>
        <v>#N/A</v>
      </c>
    </row>
    <row r="183" spans="1:37" x14ac:dyDescent="0.35">
      <c r="A183" s="12">
        <v>182</v>
      </c>
      <c r="C183">
        <v>19</v>
      </c>
      <c r="E183" s="2" t="s">
        <v>174</v>
      </c>
      <c r="F183" s="2">
        <v>1</v>
      </c>
      <c r="G183" t="s">
        <v>63</v>
      </c>
      <c r="H183" t="s">
        <v>64</v>
      </c>
      <c r="J183" s="14">
        <f t="shared" si="10"/>
        <v>124.1</v>
      </c>
      <c r="K183">
        <v>1300</v>
      </c>
      <c r="N183" t="s">
        <v>54</v>
      </c>
      <c r="Q183">
        <v>5</v>
      </c>
      <c r="W183" t="s">
        <v>440</v>
      </c>
      <c r="AA183">
        <f t="shared" si="11"/>
        <v>12.41</v>
      </c>
      <c r="AB183" s="21">
        <v>39</v>
      </c>
      <c r="AC183">
        <f t="shared" si="13"/>
        <v>0.11945906065275187</v>
      </c>
      <c r="AI183" t="e">
        <f>IF(Y183="Yes",NA(),#REF!)</f>
        <v>#REF!</v>
      </c>
      <c r="AJ183" t="e">
        <f>IF(Y183="Yes",NA(),#REF!)</f>
        <v>#REF!</v>
      </c>
      <c r="AK183" t="e">
        <f>IF(Y183="Yes",NA(),#REF!)</f>
        <v>#REF!</v>
      </c>
    </row>
    <row r="184" spans="1:37" x14ac:dyDescent="0.35">
      <c r="A184" s="12">
        <v>183</v>
      </c>
      <c r="C184">
        <v>20</v>
      </c>
      <c r="E184" s="2">
        <v>1</v>
      </c>
      <c r="F184" s="2">
        <v>9</v>
      </c>
      <c r="G184" t="s">
        <v>166</v>
      </c>
      <c r="H184" t="s">
        <v>441</v>
      </c>
      <c r="I184" t="s">
        <v>228</v>
      </c>
      <c r="J184" s="14">
        <f t="shared" ref="J184:J247" si="14">ROUND(AB184/PI(), 2)*10</f>
        <v>116.19999999999999</v>
      </c>
      <c r="K184">
        <v>1300</v>
      </c>
      <c r="N184" t="s">
        <v>218</v>
      </c>
      <c r="Q184" t="s">
        <v>38</v>
      </c>
      <c r="U184">
        <v>3</v>
      </c>
      <c r="W184" t="s">
        <v>442</v>
      </c>
      <c r="Y184" t="s">
        <v>426</v>
      </c>
      <c r="AA184">
        <f t="shared" si="11"/>
        <v>11.62</v>
      </c>
      <c r="AB184" s="22">
        <v>36.5</v>
      </c>
      <c r="AC184">
        <f t="shared" si="13"/>
        <v>0.10463467031862504</v>
      </c>
      <c r="AI184" t="e">
        <f>IF(Y184="Yes",NA(),#REF!)</f>
        <v>#N/A</v>
      </c>
      <c r="AJ184" t="e">
        <f>IF(Y184="Yes",NA(),#REF!)</f>
        <v>#N/A</v>
      </c>
      <c r="AK184" t="e">
        <f>IF(Y184="Yes",NA(),#REF!)</f>
        <v>#N/A</v>
      </c>
    </row>
    <row r="185" spans="1:37" x14ac:dyDescent="0.35">
      <c r="A185" s="12">
        <v>184</v>
      </c>
      <c r="C185">
        <v>20</v>
      </c>
      <c r="E185" s="2" t="s">
        <v>58</v>
      </c>
      <c r="F185" s="2" t="s">
        <v>58</v>
      </c>
      <c r="G185" t="s">
        <v>213</v>
      </c>
      <c r="H185" t="s">
        <v>342</v>
      </c>
      <c r="I185" t="s">
        <v>443</v>
      </c>
      <c r="J185" s="14">
        <f t="shared" si="14"/>
        <v>113.6</v>
      </c>
      <c r="K185">
        <v>1300</v>
      </c>
      <c r="N185" t="s">
        <v>37</v>
      </c>
      <c r="Q185" t="s">
        <v>38</v>
      </c>
      <c r="U185">
        <v>3</v>
      </c>
      <c r="W185" t="s">
        <v>444</v>
      </c>
      <c r="Y185" t="s">
        <v>426</v>
      </c>
      <c r="AA185">
        <f t="shared" si="11"/>
        <v>11.36</v>
      </c>
      <c r="AB185" s="22">
        <v>35.700000000000003</v>
      </c>
      <c r="AC185">
        <f t="shared" si="13"/>
        <v>0.1000982105268414</v>
      </c>
      <c r="AI185" t="e">
        <f>IF(Y185="Yes",NA(),#REF!)</f>
        <v>#N/A</v>
      </c>
      <c r="AJ185" t="e">
        <f>IF(Y185="Yes",NA(),#REF!)</f>
        <v>#N/A</v>
      </c>
      <c r="AK185" t="e">
        <f>IF(Y185="Yes",NA(),#REF!)</f>
        <v>#N/A</v>
      </c>
    </row>
    <row r="186" spans="1:37" x14ac:dyDescent="0.35">
      <c r="A186" s="12">
        <v>185</v>
      </c>
      <c r="C186">
        <v>20</v>
      </c>
      <c r="E186" s="2" t="s">
        <v>51</v>
      </c>
      <c r="F186" s="2" t="s">
        <v>121</v>
      </c>
      <c r="G186" t="s">
        <v>63</v>
      </c>
      <c r="H186" t="s">
        <v>64</v>
      </c>
      <c r="J186" s="14">
        <f t="shared" si="14"/>
        <v>105</v>
      </c>
      <c r="K186">
        <v>1300</v>
      </c>
      <c r="N186" t="s">
        <v>54</v>
      </c>
      <c r="Q186">
        <v>4</v>
      </c>
      <c r="W186" t="s">
        <v>445</v>
      </c>
      <c r="AA186">
        <f t="shared" si="11"/>
        <v>10.5</v>
      </c>
      <c r="AB186" s="21">
        <v>33</v>
      </c>
      <c r="AC186">
        <f t="shared" si="13"/>
        <v>8.5529859993982119E-2</v>
      </c>
      <c r="AI186" t="e">
        <f>IF(Y186="Yes",NA(),#REF!)</f>
        <v>#REF!</v>
      </c>
      <c r="AJ186" t="e">
        <f>IF(Y186="Yes",NA(),#REF!)</f>
        <v>#REF!</v>
      </c>
      <c r="AK186" t="e">
        <f>IF(Y186="Yes",NA(),#REF!)</f>
        <v>#REF!</v>
      </c>
    </row>
    <row r="187" spans="1:37" x14ac:dyDescent="0.35">
      <c r="A187" s="12">
        <v>186</v>
      </c>
      <c r="C187">
        <v>20</v>
      </c>
      <c r="E187" s="2">
        <v>8</v>
      </c>
      <c r="F187" s="2" t="s">
        <v>174</v>
      </c>
      <c r="G187" t="s">
        <v>42</v>
      </c>
      <c r="H187" t="s">
        <v>446</v>
      </c>
      <c r="I187" t="s">
        <v>447</v>
      </c>
      <c r="J187" s="14">
        <f t="shared" si="14"/>
        <v>117.8</v>
      </c>
      <c r="K187">
        <v>1300</v>
      </c>
      <c r="N187" t="s">
        <v>308</v>
      </c>
      <c r="Q187" t="s">
        <v>259</v>
      </c>
      <c r="U187">
        <v>3</v>
      </c>
      <c r="W187" t="s">
        <v>448</v>
      </c>
      <c r="Y187" t="s">
        <v>426</v>
      </c>
      <c r="Z187" t="s">
        <v>449</v>
      </c>
      <c r="AA187">
        <f t="shared" si="11"/>
        <v>11.78</v>
      </c>
      <c r="AB187" s="21">
        <v>37</v>
      </c>
      <c r="AC187">
        <f t="shared" si="13"/>
        <v>0.10752100856911068</v>
      </c>
      <c r="AI187" t="e">
        <f>IF(Y187="Yes",NA(),#REF!)</f>
        <v>#N/A</v>
      </c>
      <c r="AJ187" t="e">
        <f>IF(Y187="Yes",NA(),#REF!)</f>
        <v>#N/A</v>
      </c>
      <c r="AK187" t="e">
        <f>IF(Y187="Yes",NA(),#REF!)</f>
        <v>#N/A</v>
      </c>
    </row>
    <row r="188" spans="1:37" x14ac:dyDescent="0.35">
      <c r="A188" s="12">
        <v>187</v>
      </c>
      <c r="C188">
        <v>20</v>
      </c>
      <c r="E188" s="2" t="s">
        <v>52</v>
      </c>
      <c r="F188" s="2" t="s">
        <v>79</v>
      </c>
      <c r="G188" t="s">
        <v>47</v>
      </c>
      <c r="H188" t="s">
        <v>48</v>
      </c>
      <c r="J188" s="14">
        <f t="shared" si="14"/>
        <v>307.8</v>
      </c>
      <c r="K188">
        <v>1300</v>
      </c>
      <c r="N188" t="s">
        <v>61</v>
      </c>
      <c r="Q188">
        <v>5</v>
      </c>
      <c r="U188">
        <v>3</v>
      </c>
      <c r="W188" t="s">
        <v>450</v>
      </c>
      <c r="Y188" t="s">
        <v>426</v>
      </c>
      <c r="AA188">
        <f t="shared" si="11"/>
        <v>30.78</v>
      </c>
      <c r="AB188" s="22">
        <v>96.7</v>
      </c>
      <c r="AC188">
        <f t="shared" ref="AC188:AC219" si="15">PI()*(AB188/2)*(AB188/2)/10000</f>
        <v>0.73441718321315652</v>
      </c>
      <c r="AI188" t="e">
        <f>IF(Y188="Yes",NA(),#REF!)</f>
        <v>#N/A</v>
      </c>
      <c r="AJ188" t="e">
        <f>IF(Y188="Yes",NA(),#REF!)</f>
        <v>#N/A</v>
      </c>
      <c r="AK188" t="e">
        <f>IF(Y188="Yes",NA(),#REF!)</f>
        <v>#N/A</v>
      </c>
    </row>
    <row r="189" spans="1:37" x14ac:dyDescent="0.35">
      <c r="A189" s="12">
        <v>188</v>
      </c>
      <c r="C189">
        <v>20</v>
      </c>
      <c r="E189" s="2">
        <v>5</v>
      </c>
      <c r="F189" s="2" t="s">
        <v>174</v>
      </c>
      <c r="G189" t="s">
        <v>59</v>
      </c>
      <c r="H189" t="s">
        <v>451</v>
      </c>
      <c r="J189" s="14">
        <f t="shared" si="14"/>
        <v>154.70000000000002</v>
      </c>
      <c r="K189">
        <v>1300</v>
      </c>
      <c r="N189" t="s">
        <v>54</v>
      </c>
      <c r="Q189" t="s">
        <v>452</v>
      </c>
      <c r="W189" t="s">
        <v>453</v>
      </c>
      <c r="Y189" t="s">
        <v>426</v>
      </c>
      <c r="AA189">
        <f t="shared" si="11"/>
        <v>15.47</v>
      </c>
      <c r="AB189" s="22">
        <v>48.6</v>
      </c>
      <c r="AC189">
        <f t="shared" si="15"/>
        <v>0.1855079046018237</v>
      </c>
      <c r="AI189" t="e">
        <f>IF(Y189="Yes",NA(),#REF!)</f>
        <v>#N/A</v>
      </c>
      <c r="AJ189" t="e">
        <f>IF(Y189="Yes",NA(),#REF!)</f>
        <v>#N/A</v>
      </c>
      <c r="AK189" t="e">
        <f>IF(Y189="Yes",NA(),#REF!)</f>
        <v>#N/A</v>
      </c>
    </row>
    <row r="190" spans="1:37" x14ac:dyDescent="0.35">
      <c r="A190" s="12">
        <v>189</v>
      </c>
      <c r="C190">
        <v>21</v>
      </c>
      <c r="E190" s="2">
        <v>5</v>
      </c>
      <c r="F190" s="2">
        <v>1</v>
      </c>
      <c r="G190" t="s">
        <v>114</v>
      </c>
      <c r="H190" t="s">
        <v>454</v>
      </c>
      <c r="J190" s="14">
        <f t="shared" si="14"/>
        <v>154.70000000000002</v>
      </c>
      <c r="K190">
        <v>1300</v>
      </c>
      <c r="N190" t="s">
        <v>61</v>
      </c>
      <c r="Q190" t="s">
        <v>38</v>
      </c>
      <c r="U190">
        <v>2</v>
      </c>
      <c r="W190" t="s">
        <v>455</v>
      </c>
      <c r="X190" t="s">
        <v>40</v>
      </c>
      <c r="Y190" t="s">
        <v>40</v>
      </c>
      <c r="AA190">
        <f t="shared" si="11"/>
        <v>15.47</v>
      </c>
      <c r="AB190" s="22">
        <v>48.6</v>
      </c>
      <c r="AC190">
        <f t="shared" si="15"/>
        <v>0.1855079046018237</v>
      </c>
      <c r="AI190" t="e">
        <f>IF(Y190="Yes",NA(),#REF!)</f>
        <v>#N/A</v>
      </c>
      <c r="AJ190" t="e">
        <f>IF(Y190="Yes",NA(),#REF!)</f>
        <v>#N/A</v>
      </c>
      <c r="AK190" t="e">
        <f>IF(Y190="Yes",NA(),#REF!)</f>
        <v>#N/A</v>
      </c>
    </row>
    <row r="191" spans="1:37" x14ac:dyDescent="0.35">
      <c r="A191" s="12">
        <v>190</v>
      </c>
      <c r="C191">
        <v>21</v>
      </c>
      <c r="E191" s="2" t="s">
        <v>51</v>
      </c>
      <c r="F191" s="2" t="s">
        <v>201</v>
      </c>
      <c r="G191" t="s">
        <v>63</v>
      </c>
      <c r="H191" t="s">
        <v>64</v>
      </c>
      <c r="J191" s="14">
        <f t="shared" si="14"/>
        <v>131.1</v>
      </c>
      <c r="K191">
        <v>1300</v>
      </c>
      <c r="N191" t="s">
        <v>54</v>
      </c>
      <c r="Q191">
        <v>1</v>
      </c>
      <c r="W191" t="s">
        <v>456</v>
      </c>
      <c r="AA191">
        <f t="shared" si="11"/>
        <v>13.11</v>
      </c>
      <c r="AB191" s="21">
        <v>41.2</v>
      </c>
      <c r="AC191">
        <f t="shared" si="15"/>
        <v>0.13331662584773649</v>
      </c>
      <c r="AI191" t="e">
        <f>IF(Y191="Yes",NA(),#REF!)</f>
        <v>#REF!</v>
      </c>
      <c r="AJ191" t="e">
        <f>IF(Y191="Yes",NA(),#REF!)</f>
        <v>#REF!</v>
      </c>
      <c r="AK191" t="e">
        <f>IF(Y191="Yes",NA(),#REF!)</f>
        <v>#REF!</v>
      </c>
    </row>
    <row r="192" spans="1:37" x14ac:dyDescent="0.35">
      <c r="A192" s="12">
        <v>191</v>
      </c>
      <c r="C192">
        <v>21</v>
      </c>
      <c r="E192" s="2" t="s">
        <v>51</v>
      </c>
      <c r="F192" s="2">
        <v>8</v>
      </c>
      <c r="G192" t="s">
        <v>114</v>
      </c>
      <c r="H192" t="s">
        <v>35</v>
      </c>
      <c r="J192" s="14">
        <f t="shared" si="14"/>
        <v>429.7</v>
      </c>
      <c r="K192">
        <v>1600</v>
      </c>
      <c r="N192" t="s">
        <v>54</v>
      </c>
      <c r="Q192">
        <v>5</v>
      </c>
      <c r="U192">
        <v>3</v>
      </c>
      <c r="W192" t="s">
        <v>457</v>
      </c>
      <c r="X192" t="s">
        <v>40</v>
      </c>
      <c r="Y192" t="s">
        <v>40</v>
      </c>
      <c r="AA192">
        <f t="shared" si="11"/>
        <v>42.97</v>
      </c>
      <c r="AB192" s="22">
        <v>135</v>
      </c>
      <c r="AC192">
        <f t="shared" si="15"/>
        <v>1.4313881527918495</v>
      </c>
      <c r="AI192" t="e">
        <f>IF(Y192="Yes",NA(),#REF!)</f>
        <v>#N/A</v>
      </c>
      <c r="AJ192" t="e">
        <f>IF(Y192="Yes",NA(),#REF!)</f>
        <v>#N/A</v>
      </c>
      <c r="AK192" t="e">
        <f>IF(Y192="Yes",NA(),#REF!)</f>
        <v>#N/A</v>
      </c>
    </row>
    <row r="193" spans="1:37" x14ac:dyDescent="0.35">
      <c r="A193" s="12">
        <v>192</v>
      </c>
      <c r="C193">
        <v>21</v>
      </c>
      <c r="E193" s="2">
        <v>2</v>
      </c>
      <c r="F193" s="2">
        <v>8</v>
      </c>
      <c r="G193" t="s">
        <v>404</v>
      </c>
      <c r="H193" t="s">
        <v>409</v>
      </c>
      <c r="J193" s="14">
        <f t="shared" si="14"/>
        <v>251.5</v>
      </c>
      <c r="K193">
        <v>1300</v>
      </c>
      <c r="N193" t="s">
        <v>54</v>
      </c>
      <c r="Q193">
        <v>5</v>
      </c>
      <c r="U193">
        <v>3</v>
      </c>
      <c r="W193" t="s">
        <v>458</v>
      </c>
      <c r="Y193" t="s">
        <v>426</v>
      </c>
      <c r="AA193">
        <f t="shared" si="11"/>
        <v>25.15</v>
      </c>
      <c r="AB193" s="22">
        <v>79</v>
      </c>
      <c r="AC193">
        <f t="shared" si="15"/>
        <v>0.49016699377634748</v>
      </c>
      <c r="AI193" t="e">
        <f>IF(Y193="Yes",NA(),#REF!)</f>
        <v>#N/A</v>
      </c>
      <c r="AJ193" t="e">
        <f>IF(Y193="Yes",NA(),#REF!)</f>
        <v>#N/A</v>
      </c>
      <c r="AK193" t="e">
        <f>IF(Y193="Yes",NA(),#REF!)</f>
        <v>#N/A</v>
      </c>
    </row>
    <row r="194" spans="1:37" x14ac:dyDescent="0.35">
      <c r="A194" s="12">
        <v>193</v>
      </c>
      <c r="C194">
        <v>22</v>
      </c>
      <c r="E194" s="2" t="s">
        <v>174</v>
      </c>
      <c r="F194" s="2">
        <v>5</v>
      </c>
      <c r="G194" t="s">
        <v>137</v>
      </c>
      <c r="H194" t="s">
        <v>138</v>
      </c>
      <c r="J194" s="14">
        <f t="shared" si="14"/>
        <v>223.5</v>
      </c>
      <c r="K194">
        <v>1300</v>
      </c>
      <c r="N194" t="s">
        <v>54</v>
      </c>
      <c r="Q194">
        <v>5</v>
      </c>
      <c r="U194">
        <v>2</v>
      </c>
      <c r="W194" t="s">
        <v>459</v>
      </c>
      <c r="X194" t="s">
        <v>40</v>
      </c>
      <c r="Y194" t="s">
        <v>40</v>
      </c>
      <c r="AA194">
        <f t="shared" si="11"/>
        <v>22.35</v>
      </c>
      <c r="AB194" s="22">
        <v>70.2</v>
      </c>
      <c r="AC194">
        <f t="shared" si="15"/>
        <v>0.38704735651491612</v>
      </c>
      <c r="AI194" t="e">
        <f>IF(Y194="Yes",NA(),#REF!)</f>
        <v>#N/A</v>
      </c>
      <c r="AJ194" t="e">
        <f>IF(Y194="Yes",NA(),#REF!)</f>
        <v>#N/A</v>
      </c>
      <c r="AK194" t="e">
        <f>IF(Y194="Yes",NA(),#REF!)</f>
        <v>#N/A</v>
      </c>
    </row>
    <row r="195" spans="1:37" x14ac:dyDescent="0.35">
      <c r="A195" s="12">
        <v>194</v>
      </c>
      <c r="C195">
        <v>22</v>
      </c>
      <c r="E195" s="2">
        <v>4</v>
      </c>
      <c r="F195" s="2">
        <v>5</v>
      </c>
      <c r="G195" t="s">
        <v>47</v>
      </c>
      <c r="H195" t="s">
        <v>270</v>
      </c>
      <c r="J195" s="14">
        <f t="shared" si="14"/>
        <v>167.10000000000002</v>
      </c>
      <c r="K195">
        <v>1300</v>
      </c>
      <c r="N195" t="s">
        <v>54</v>
      </c>
      <c r="Q195">
        <v>4</v>
      </c>
      <c r="U195">
        <v>2</v>
      </c>
      <c r="W195" t="s">
        <v>460</v>
      </c>
      <c r="X195" t="s">
        <v>40</v>
      </c>
      <c r="Y195" t="s">
        <v>40</v>
      </c>
      <c r="AA195">
        <f t="shared" ref="AA195:AA258" si="16">ROUND(AB195/PI(), 2)</f>
        <v>16.71</v>
      </c>
      <c r="AB195" s="22">
        <v>52.5</v>
      </c>
      <c r="AC195">
        <f t="shared" si="15"/>
        <v>0.21647536878642168</v>
      </c>
      <c r="AI195" t="e">
        <f>IF(Y195="Yes",NA(),#REF!)</f>
        <v>#N/A</v>
      </c>
      <c r="AJ195" t="e">
        <f>IF(Y195="Yes",NA(),#REF!)</f>
        <v>#N/A</v>
      </c>
      <c r="AK195" t="e">
        <f>IF(Y195="Yes",NA(),#REF!)</f>
        <v>#N/A</v>
      </c>
    </row>
    <row r="196" spans="1:37" x14ac:dyDescent="0.35">
      <c r="A196" s="12">
        <v>195</v>
      </c>
      <c r="C196">
        <v>22</v>
      </c>
      <c r="E196" s="2">
        <v>9</v>
      </c>
      <c r="F196" s="2">
        <v>5</v>
      </c>
      <c r="G196" t="s">
        <v>59</v>
      </c>
      <c r="H196" t="s">
        <v>461</v>
      </c>
      <c r="J196" s="14">
        <f t="shared" si="14"/>
        <v>487</v>
      </c>
      <c r="K196">
        <v>1600</v>
      </c>
      <c r="N196" t="s">
        <v>54</v>
      </c>
      <c r="Q196">
        <v>5</v>
      </c>
      <c r="U196">
        <v>2</v>
      </c>
      <c r="W196" t="s">
        <v>462</v>
      </c>
      <c r="Y196" t="s">
        <v>426</v>
      </c>
      <c r="AA196">
        <f t="shared" si="16"/>
        <v>48.7</v>
      </c>
      <c r="AB196" s="22">
        <v>153</v>
      </c>
      <c r="AC196">
        <f t="shared" si="15"/>
        <v>1.8385385606970868</v>
      </c>
      <c r="AI196" t="e">
        <f>IF(Y196="Yes",NA(),#REF!)</f>
        <v>#N/A</v>
      </c>
      <c r="AJ196" t="e">
        <f>IF(Y196="Yes",NA(),#REF!)</f>
        <v>#N/A</v>
      </c>
      <c r="AK196" t="e">
        <f>IF(Y196="Yes",NA(),#REF!)</f>
        <v>#N/A</v>
      </c>
    </row>
    <row r="197" spans="1:37" x14ac:dyDescent="0.35">
      <c r="A197" s="12">
        <v>196</v>
      </c>
      <c r="C197">
        <v>22</v>
      </c>
      <c r="E197" s="2">
        <v>9</v>
      </c>
      <c r="F197" s="2" t="s">
        <v>92</v>
      </c>
      <c r="G197" t="s">
        <v>63</v>
      </c>
      <c r="H197" t="s">
        <v>64</v>
      </c>
      <c r="J197" s="14">
        <f t="shared" si="14"/>
        <v>108.2</v>
      </c>
      <c r="K197">
        <v>1300</v>
      </c>
      <c r="N197" t="s">
        <v>54</v>
      </c>
      <c r="Q197" t="s">
        <v>38</v>
      </c>
      <c r="W197" t="s">
        <v>463</v>
      </c>
      <c r="AA197">
        <f t="shared" si="16"/>
        <v>10.82</v>
      </c>
      <c r="AB197" s="21">
        <v>34</v>
      </c>
      <c r="AC197">
        <f t="shared" si="15"/>
        <v>9.0792027688745031E-2</v>
      </c>
      <c r="AI197" t="e">
        <f>IF(Y197="Yes",NA(),#REF!)</f>
        <v>#REF!</v>
      </c>
      <c r="AJ197" t="e">
        <f>IF(Y197="Yes",NA(),#REF!)</f>
        <v>#REF!</v>
      </c>
      <c r="AK197" t="e">
        <f>IF(Y197="Yes",NA(),#REF!)</f>
        <v>#REF!</v>
      </c>
    </row>
    <row r="198" spans="1:37" x14ac:dyDescent="0.35">
      <c r="A198" s="12">
        <v>197</v>
      </c>
      <c r="C198">
        <v>22</v>
      </c>
      <c r="E198" s="2" t="s">
        <v>58</v>
      </c>
      <c r="F198" s="2" t="s">
        <v>52</v>
      </c>
      <c r="G198" t="s">
        <v>114</v>
      </c>
      <c r="H198" t="s">
        <v>35</v>
      </c>
      <c r="J198" s="14">
        <f t="shared" si="14"/>
        <v>315.10000000000002</v>
      </c>
      <c r="K198">
        <v>1300</v>
      </c>
      <c r="N198" t="s">
        <v>37</v>
      </c>
      <c r="Q198">
        <v>4</v>
      </c>
      <c r="U198">
        <v>3</v>
      </c>
      <c r="W198" t="s">
        <v>464</v>
      </c>
      <c r="Y198" t="s">
        <v>426</v>
      </c>
      <c r="AA198">
        <f t="shared" si="16"/>
        <v>31.51</v>
      </c>
      <c r="AB198" s="22">
        <v>99</v>
      </c>
      <c r="AC198">
        <f t="shared" si="15"/>
        <v>0.76976873994583916</v>
      </c>
      <c r="AI198" t="e">
        <f>IF(Y198="Yes",NA(),#REF!)</f>
        <v>#N/A</v>
      </c>
      <c r="AJ198" t="e">
        <f>IF(Y198="Yes",NA(),#REF!)</f>
        <v>#N/A</v>
      </c>
      <c r="AK198" t="e">
        <f>IF(Y198="Yes",NA(),#REF!)</f>
        <v>#N/A</v>
      </c>
    </row>
    <row r="199" spans="1:37" x14ac:dyDescent="0.35">
      <c r="A199" s="12">
        <v>198</v>
      </c>
      <c r="C199">
        <v>22</v>
      </c>
      <c r="E199" s="23">
        <v>7</v>
      </c>
      <c r="F199" s="23">
        <v>6</v>
      </c>
      <c r="G199" t="s">
        <v>59</v>
      </c>
      <c r="H199" t="s">
        <v>304</v>
      </c>
      <c r="J199" s="14">
        <f t="shared" si="14"/>
        <v>214.89999999999998</v>
      </c>
      <c r="K199">
        <v>1300</v>
      </c>
      <c r="N199" t="s">
        <v>54</v>
      </c>
      <c r="Q199">
        <v>5</v>
      </c>
      <c r="U199">
        <v>2</v>
      </c>
      <c r="W199" t="s">
        <v>465</v>
      </c>
      <c r="X199" t="s">
        <v>40</v>
      </c>
      <c r="Y199" t="s">
        <v>40</v>
      </c>
      <c r="AA199">
        <f t="shared" si="16"/>
        <v>21.49</v>
      </c>
      <c r="AB199" s="21">
        <v>67.5</v>
      </c>
      <c r="AC199">
        <f t="shared" si="15"/>
        <v>0.35784703819796237</v>
      </c>
      <c r="AI199" t="e">
        <f>IF(Y199="Yes",NA(),#REF!)</f>
        <v>#N/A</v>
      </c>
      <c r="AJ199" t="e">
        <f>IF(Y199="Yes",NA(),#REF!)</f>
        <v>#N/A</v>
      </c>
      <c r="AK199" t="e">
        <f>IF(Y199="Yes",NA(),#REF!)</f>
        <v>#N/A</v>
      </c>
    </row>
    <row r="200" spans="1:37" x14ac:dyDescent="0.35">
      <c r="A200" s="12">
        <v>199</v>
      </c>
      <c r="C200">
        <v>22</v>
      </c>
      <c r="E200" s="2">
        <v>6</v>
      </c>
      <c r="F200" s="2">
        <v>8</v>
      </c>
      <c r="G200" t="s">
        <v>178</v>
      </c>
      <c r="H200" t="s">
        <v>294</v>
      </c>
      <c r="J200" s="14">
        <f t="shared" si="14"/>
        <v>124.1</v>
      </c>
      <c r="K200">
        <v>1300</v>
      </c>
      <c r="N200" t="s">
        <v>54</v>
      </c>
      <c r="Q200" t="s">
        <v>38</v>
      </c>
      <c r="U200">
        <v>3</v>
      </c>
      <c r="W200" t="s">
        <v>466</v>
      </c>
      <c r="X200" t="s">
        <v>40</v>
      </c>
      <c r="Y200" t="s">
        <v>40</v>
      </c>
      <c r="AA200">
        <f t="shared" si="16"/>
        <v>12.41</v>
      </c>
      <c r="AB200" s="22">
        <v>39</v>
      </c>
      <c r="AC200">
        <f t="shared" si="15"/>
        <v>0.11945906065275187</v>
      </c>
      <c r="AI200" t="e">
        <f>IF(Y200="Yes",NA(),#REF!)</f>
        <v>#N/A</v>
      </c>
      <c r="AJ200" t="e">
        <f>IF(Y200="Yes",NA(),#REF!)</f>
        <v>#N/A</v>
      </c>
      <c r="AK200" t="e">
        <f>IF(Y200="Yes",NA(),#REF!)</f>
        <v>#N/A</v>
      </c>
    </row>
    <row r="201" spans="1:37" x14ac:dyDescent="0.35">
      <c r="A201" s="12">
        <v>200</v>
      </c>
      <c r="C201">
        <v>22</v>
      </c>
      <c r="E201" s="23">
        <v>2</v>
      </c>
      <c r="F201" s="23">
        <v>9</v>
      </c>
      <c r="G201" t="s">
        <v>467</v>
      </c>
      <c r="H201" t="s">
        <v>468</v>
      </c>
      <c r="J201" s="14">
        <f t="shared" si="14"/>
        <v>100.3</v>
      </c>
      <c r="K201">
        <v>1300</v>
      </c>
      <c r="N201" t="s">
        <v>61</v>
      </c>
      <c r="Q201">
        <v>1</v>
      </c>
      <c r="W201" t="s">
        <v>469</v>
      </c>
      <c r="X201" t="s">
        <v>40</v>
      </c>
      <c r="Y201" t="s">
        <v>40</v>
      </c>
      <c r="Z201" t="s">
        <v>307</v>
      </c>
      <c r="AA201">
        <f t="shared" si="16"/>
        <v>10.029999999999999</v>
      </c>
      <c r="AB201" s="21">
        <v>31.5</v>
      </c>
      <c r="AC201">
        <f t="shared" si="15"/>
        <v>7.793113276311181E-2</v>
      </c>
      <c r="AI201" t="e">
        <f>IF(Y201="Yes",NA(),#REF!)</f>
        <v>#N/A</v>
      </c>
      <c r="AJ201" t="e">
        <f>IF(Y201="Yes",NA(),#REF!)</f>
        <v>#N/A</v>
      </c>
      <c r="AK201" t="e">
        <f>IF(Y201="Yes",NA(),#REF!)</f>
        <v>#N/A</v>
      </c>
    </row>
    <row r="202" spans="1:37" x14ac:dyDescent="0.35">
      <c r="A202" s="12">
        <v>201</v>
      </c>
      <c r="C202">
        <v>23</v>
      </c>
      <c r="E202" s="2">
        <v>1</v>
      </c>
      <c r="F202" s="2" t="s">
        <v>174</v>
      </c>
      <c r="G202" t="s">
        <v>114</v>
      </c>
      <c r="H202" t="s">
        <v>35</v>
      </c>
      <c r="J202" s="14">
        <f t="shared" si="14"/>
        <v>136.9</v>
      </c>
      <c r="K202">
        <v>1300</v>
      </c>
      <c r="N202" t="s">
        <v>54</v>
      </c>
      <c r="Q202" t="s">
        <v>134</v>
      </c>
      <c r="U202">
        <v>3</v>
      </c>
      <c r="W202" t="s">
        <v>470</v>
      </c>
      <c r="X202" t="s">
        <v>40</v>
      </c>
      <c r="Y202" t="s">
        <v>40</v>
      </c>
      <c r="Z202" t="s">
        <v>471</v>
      </c>
      <c r="AA202">
        <f t="shared" si="16"/>
        <v>13.69</v>
      </c>
      <c r="AB202" s="22">
        <v>43</v>
      </c>
      <c r="AC202">
        <f t="shared" si="15"/>
        <v>0.14522012041218818</v>
      </c>
      <c r="AI202" t="e">
        <f>IF(Y202="Yes",NA(),#REF!)</f>
        <v>#N/A</v>
      </c>
      <c r="AJ202" t="e">
        <f>IF(Y202="Yes",NA(),#REF!)</f>
        <v>#N/A</v>
      </c>
      <c r="AK202" t="e">
        <f>IF(Y202="Yes",NA(),#REF!)</f>
        <v>#N/A</v>
      </c>
    </row>
    <row r="203" spans="1:37" x14ac:dyDescent="0.35">
      <c r="A203" s="12">
        <v>202</v>
      </c>
      <c r="C203">
        <v>23</v>
      </c>
      <c r="E203" s="2">
        <v>7</v>
      </c>
      <c r="F203" s="2" t="s">
        <v>92</v>
      </c>
      <c r="G203" t="s">
        <v>66</v>
      </c>
      <c r="H203" t="s">
        <v>472</v>
      </c>
      <c r="J203" s="14">
        <f t="shared" si="14"/>
        <v>140.1</v>
      </c>
      <c r="K203">
        <v>1300</v>
      </c>
      <c r="N203" t="s">
        <v>54</v>
      </c>
      <c r="Q203" t="s">
        <v>38</v>
      </c>
      <c r="U203">
        <v>3</v>
      </c>
      <c r="W203" t="s">
        <v>473</v>
      </c>
      <c r="Y203" t="s">
        <v>426</v>
      </c>
      <c r="AA203">
        <f t="shared" si="16"/>
        <v>14.01</v>
      </c>
      <c r="AB203" s="22">
        <v>44</v>
      </c>
      <c r="AC203">
        <f t="shared" si="15"/>
        <v>0.15205308443374596</v>
      </c>
      <c r="AI203" t="e">
        <f>IF(Y203="Yes",NA(),#REF!)</f>
        <v>#N/A</v>
      </c>
      <c r="AJ203" t="e">
        <f>IF(Y203="Yes",NA(),#REF!)</f>
        <v>#N/A</v>
      </c>
      <c r="AK203" t="e">
        <f>IF(Y203="Yes",NA(),#REF!)</f>
        <v>#N/A</v>
      </c>
    </row>
    <row r="204" spans="1:37" x14ac:dyDescent="0.35">
      <c r="A204" s="12">
        <v>203</v>
      </c>
      <c r="C204">
        <v>23</v>
      </c>
      <c r="E204" s="2">
        <v>8</v>
      </c>
      <c r="F204" s="2" t="s">
        <v>92</v>
      </c>
      <c r="G204" t="s">
        <v>114</v>
      </c>
      <c r="H204" t="s">
        <v>35</v>
      </c>
      <c r="J204" s="14">
        <f t="shared" si="14"/>
        <v>361.3</v>
      </c>
      <c r="K204">
        <v>1300</v>
      </c>
      <c r="N204" t="s">
        <v>54</v>
      </c>
      <c r="Q204">
        <v>5</v>
      </c>
      <c r="W204" t="s">
        <v>474</v>
      </c>
      <c r="AA204">
        <f t="shared" si="16"/>
        <v>36.130000000000003</v>
      </c>
      <c r="AB204" s="22">
        <v>113.5</v>
      </c>
      <c r="AC204">
        <f t="shared" si="15"/>
        <v>1.0117695490426777</v>
      </c>
      <c r="AI204" t="e">
        <f>IF(Y204="Yes",NA(),#REF!)</f>
        <v>#REF!</v>
      </c>
      <c r="AJ204" t="e">
        <f>IF(Y204="Yes",NA(),#REF!)</f>
        <v>#REF!</v>
      </c>
      <c r="AK204" t="e">
        <f>IF(Y204="Yes",NA(),#REF!)</f>
        <v>#REF!</v>
      </c>
    </row>
    <row r="205" spans="1:37" x14ac:dyDescent="0.35">
      <c r="A205" s="12">
        <v>204</v>
      </c>
      <c r="C205">
        <v>23</v>
      </c>
      <c r="E205" s="2">
        <v>8</v>
      </c>
      <c r="F205" s="2">
        <v>5</v>
      </c>
      <c r="G205" t="s">
        <v>63</v>
      </c>
      <c r="H205" t="s">
        <v>64</v>
      </c>
      <c r="J205" s="14">
        <f t="shared" si="14"/>
        <v>158.19999999999999</v>
      </c>
      <c r="K205">
        <v>1300</v>
      </c>
      <c r="N205" t="s">
        <v>54</v>
      </c>
      <c r="Q205" t="s">
        <v>38</v>
      </c>
      <c r="W205" t="s">
        <v>475</v>
      </c>
      <c r="AA205">
        <f t="shared" si="16"/>
        <v>15.82</v>
      </c>
      <c r="AB205" s="21">
        <v>49.7</v>
      </c>
      <c r="AC205">
        <f t="shared" si="15"/>
        <v>0.19400041494264034</v>
      </c>
      <c r="AI205" t="e">
        <f>IF(Y205="Yes",NA(),#REF!)</f>
        <v>#REF!</v>
      </c>
      <c r="AJ205" t="e">
        <f>IF(Y205="Yes",NA(),#REF!)</f>
        <v>#REF!</v>
      </c>
      <c r="AK205" t="e">
        <f>IF(Y205="Yes",NA(),#REF!)</f>
        <v>#REF!</v>
      </c>
    </row>
    <row r="206" spans="1:37" x14ac:dyDescent="0.35">
      <c r="A206" s="12">
        <v>205</v>
      </c>
      <c r="C206">
        <v>23</v>
      </c>
      <c r="E206" s="2">
        <v>10</v>
      </c>
      <c r="F206" s="2">
        <v>4</v>
      </c>
      <c r="G206" t="s">
        <v>114</v>
      </c>
      <c r="H206" t="s">
        <v>35</v>
      </c>
      <c r="J206" s="14">
        <f t="shared" si="14"/>
        <v>117.8</v>
      </c>
      <c r="K206">
        <v>1300</v>
      </c>
      <c r="N206" t="s">
        <v>54</v>
      </c>
      <c r="Q206" t="s">
        <v>38</v>
      </c>
      <c r="U206">
        <v>3</v>
      </c>
      <c r="W206" t="s">
        <v>476</v>
      </c>
      <c r="X206" t="s">
        <v>40</v>
      </c>
      <c r="Y206" t="s">
        <v>40</v>
      </c>
      <c r="AA206">
        <f t="shared" si="16"/>
        <v>11.78</v>
      </c>
      <c r="AB206" s="22">
        <v>37</v>
      </c>
      <c r="AC206">
        <f t="shared" si="15"/>
        <v>0.10752100856911068</v>
      </c>
      <c r="AI206" t="e">
        <f>IF(Y206="Yes",NA(),#REF!)</f>
        <v>#N/A</v>
      </c>
      <c r="AJ206" t="e">
        <f>IF(Y206="Yes",NA(),#REF!)</f>
        <v>#N/A</v>
      </c>
      <c r="AK206" t="e">
        <f>IF(Y206="Yes",NA(),#REF!)</f>
        <v>#N/A</v>
      </c>
    </row>
    <row r="207" spans="1:37" x14ac:dyDescent="0.35">
      <c r="A207" s="12">
        <v>206</v>
      </c>
      <c r="C207">
        <v>23</v>
      </c>
      <c r="E207" s="2" t="s">
        <v>51</v>
      </c>
      <c r="F207" s="2">
        <v>6</v>
      </c>
      <c r="G207" t="s">
        <v>213</v>
      </c>
      <c r="H207" t="s">
        <v>477</v>
      </c>
      <c r="J207" s="14">
        <f t="shared" si="14"/>
        <v>102.5</v>
      </c>
      <c r="K207">
        <v>1300</v>
      </c>
      <c r="N207" t="s">
        <v>54</v>
      </c>
      <c r="Q207" t="s">
        <v>38</v>
      </c>
      <c r="U207">
        <v>3</v>
      </c>
      <c r="W207" t="s">
        <v>478</v>
      </c>
      <c r="X207" t="s">
        <v>40</v>
      </c>
      <c r="Y207" t="s">
        <v>40</v>
      </c>
      <c r="AA207">
        <f t="shared" si="16"/>
        <v>10.25</v>
      </c>
      <c r="AB207" s="22">
        <v>32.200000000000003</v>
      </c>
      <c r="AC207">
        <f t="shared" si="15"/>
        <v>8.1433223173701039E-2</v>
      </c>
      <c r="AI207" t="e">
        <f>IF(Y207="Yes",NA(),#REF!)</f>
        <v>#N/A</v>
      </c>
      <c r="AJ207" t="e">
        <f>IF(Y207="Yes",NA(),#REF!)</f>
        <v>#N/A</v>
      </c>
      <c r="AK207" t="e">
        <f>IF(Y207="Yes",NA(),#REF!)</f>
        <v>#N/A</v>
      </c>
    </row>
    <row r="208" spans="1:37" x14ac:dyDescent="0.35">
      <c r="A208" s="12">
        <v>207</v>
      </c>
      <c r="C208">
        <v>23</v>
      </c>
      <c r="E208" s="2" t="s">
        <v>479</v>
      </c>
      <c r="F208" s="2" t="s">
        <v>480</v>
      </c>
      <c r="G208" t="s">
        <v>59</v>
      </c>
      <c r="H208" t="s">
        <v>481</v>
      </c>
      <c r="J208" s="14">
        <f t="shared" si="14"/>
        <v>133.69999999999999</v>
      </c>
      <c r="K208">
        <v>1300</v>
      </c>
      <c r="N208" t="s">
        <v>54</v>
      </c>
      <c r="Q208" t="s">
        <v>38</v>
      </c>
      <c r="U208">
        <v>3</v>
      </c>
      <c r="W208" t="s">
        <v>482</v>
      </c>
      <c r="X208" t="s">
        <v>40</v>
      </c>
      <c r="Y208" t="s">
        <v>40</v>
      </c>
      <c r="AA208">
        <f t="shared" si="16"/>
        <v>13.37</v>
      </c>
      <c r="AB208" s="22">
        <v>42</v>
      </c>
      <c r="AC208">
        <f t="shared" si="15"/>
        <v>0.1385442360233099</v>
      </c>
      <c r="AI208" t="e">
        <f>IF(Y208="Yes",NA(),#REF!)</f>
        <v>#N/A</v>
      </c>
      <c r="AJ208" t="e">
        <f>IF(Y208="Yes",NA(),#REF!)</f>
        <v>#N/A</v>
      </c>
      <c r="AK208" t="e">
        <f>IF(Y208="Yes",NA(),#REF!)</f>
        <v>#N/A</v>
      </c>
    </row>
    <row r="209" spans="1:37" x14ac:dyDescent="0.35">
      <c r="A209" s="12">
        <v>208</v>
      </c>
      <c r="C209">
        <v>23</v>
      </c>
      <c r="E209" s="2">
        <v>7</v>
      </c>
      <c r="F209" s="2" t="s">
        <v>51</v>
      </c>
      <c r="G209" t="s">
        <v>114</v>
      </c>
      <c r="H209" t="s">
        <v>35</v>
      </c>
      <c r="J209" s="14">
        <f t="shared" si="14"/>
        <v>108.2</v>
      </c>
      <c r="K209">
        <v>1500</v>
      </c>
      <c r="N209" t="s">
        <v>54</v>
      </c>
      <c r="Q209" t="s">
        <v>55</v>
      </c>
      <c r="U209">
        <v>3</v>
      </c>
      <c r="W209" t="s">
        <v>483</v>
      </c>
      <c r="X209" t="s">
        <v>40</v>
      </c>
      <c r="Y209" t="s">
        <v>40</v>
      </c>
      <c r="AA209">
        <f t="shared" si="16"/>
        <v>10.82</v>
      </c>
      <c r="AB209" s="22">
        <v>34</v>
      </c>
      <c r="AC209">
        <f t="shared" si="15"/>
        <v>9.0792027688745031E-2</v>
      </c>
      <c r="AI209" t="e">
        <f>IF(Y209="Yes",NA(),#REF!)</f>
        <v>#N/A</v>
      </c>
      <c r="AJ209" t="e">
        <f>IF(Y209="Yes",NA(),#REF!)</f>
        <v>#N/A</v>
      </c>
      <c r="AK209" t="e">
        <f>IF(Y209="Yes",NA(),#REF!)</f>
        <v>#N/A</v>
      </c>
    </row>
    <row r="210" spans="1:37" x14ac:dyDescent="0.35">
      <c r="A210" s="12">
        <v>209</v>
      </c>
      <c r="C210">
        <v>23</v>
      </c>
      <c r="E210" s="23" t="s">
        <v>121</v>
      </c>
      <c r="F210" s="23">
        <v>10</v>
      </c>
      <c r="G210" t="s">
        <v>42</v>
      </c>
      <c r="H210" t="s">
        <v>484</v>
      </c>
      <c r="I210" t="s">
        <v>485</v>
      </c>
      <c r="J210" s="14">
        <f t="shared" si="14"/>
        <v>100.60000000000001</v>
      </c>
      <c r="K210">
        <v>1300</v>
      </c>
      <c r="N210" t="s">
        <v>486</v>
      </c>
      <c r="Q210" t="s">
        <v>55</v>
      </c>
      <c r="U210">
        <v>3</v>
      </c>
      <c r="W210" t="s">
        <v>487</v>
      </c>
      <c r="X210" t="s">
        <v>40</v>
      </c>
      <c r="Y210" t="s">
        <v>40</v>
      </c>
      <c r="AA210">
        <f t="shared" si="16"/>
        <v>10.06</v>
      </c>
      <c r="AB210" s="21">
        <v>31.6</v>
      </c>
      <c r="AC210">
        <f t="shared" si="15"/>
        <v>7.8426719004215606E-2</v>
      </c>
      <c r="AI210" t="e">
        <f>IF(Y210="Yes",NA(),#REF!)</f>
        <v>#N/A</v>
      </c>
      <c r="AJ210" t="e">
        <f>IF(Y210="Yes",NA(),#REF!)</f>
        <v>#N/A</v>
      </c>
      <c r="AK210" t="e">
        <f>IF(Y210="Yes",NA(),#REF!)</f>
        <v>#N/A</v>
      </c>
    </row>
    <row r="211" spans="1:37" x14ac:dyDescent="0.35">
      <c r="A211" s="12">
        <v>210</v>
      </c>
      <c r="C211">
        <v>23</v>
      </c>
      <c r="E211" s="2" t="s">
        <v>111</v>
      </c>
      <c r="F211" s="2">
        <v>9</v>
      </c>
      <c r="G211" t="s">
        <v>137</v>
      </c>
      <c r="H211" t="s">
        <v>138</v>
      </c>
      <c r="J211" s="14">
        <f t="shared" si="14"/>
        <v>149.60000000000002</v>
      </c>
      <c r="K211">
        <v>1300</v>
      </c>
      <c r="N211" t="s">
        <v>54</v>
      </c>
      <c r="Q211">
        <v>4</v>
      </c>
      <c r="U211">
        <v>3</v>
      </c>
      <c r="W211" t="s">
        <v>488</v>
      </c>
      <c r="X211" t="s">
        <v>40</v>
      </c>
      <c r="Y211" t="s">
        <v>40</v>
      </c>
      <c r="Z211" t="s">
        <v>489</v>
      </c>
      <c r="AA211">
        <f t="shared" si="16"/>
        <v>14.96</v>
      </c>
      <c r="AB211" s="22">
        <v>47</v>
      </c>
      <c r="AC211">
        <f t="shared" si="15"/>
        <v>0.17349445429449634</v>
      </c>
      <c r="AI211" t="e">
        <f>IF(Y211="Yes",NA(),#REF!)</f>
        <v>#N/A</v>
      </c>
      <c r="AJ211" t="e">
        <f>IF(Y211="Yes",NA(),#REF!)</f>
        <v>#N/A</v>
      </c>
      <c r="AK211" t="e">
        <f>IF(Y211="Yes",NA(),#REF!)</f>
        <v>#N/A</v>
      </c>
    </row>
    <row r="212" spans="1:37" x14ac:dyDescent="0.35">
      <c r="A212" s="12">
        <v>211</v>
      </c>
      <c r="C212">
        <v>23</v>
      </c>
      <c r="E212" s="23" t="s">
        <v>364</v>
      </c>
      <c r="F212" s="23" t="s">
        <v>490</v>
      </c>
      <c r="G212" t="s">
        <v>104</v>
      </c>
      <c r="H212" t="s">
        <v>491</v>
      </c>
      <c r="J212" s="14">
        <f t="shared" si="14"/>
        <v>176.70000000000002</v>
      </c>
      <c r="K212">
        <v>1300</v>
      </c>
      <c r="N212" t="s">
        <v>54</v>
      </c>
      <c r="Q212">
        <v>4</v>
      </c>
      <c r="U212">
        <v>3</v>
      </c>
      <c r="W212" t="s">
        <v>492</v>
      </c>
      <c r="X212" t="s">
        <v>40</v>
      </c>
      <c r="Y212" t="s">
        <v>40</v>
      </c>
      <c r="AA212">
        <f t="shared" si="16"/>
        <v>17.670000000000002</v>
      </c>
      <c r="AB212" s="21">
        <v>55.5</v>
      </c>
      <c r="AC212">
        <f t="shared" si="15"/>
        <v>0.24192226928049901</v>
      </c>
      <c r="AI212" t="e">
        <f>IF(Y212="Yes",NA(),#REF!)</f>
        <v>#N/A</v>
      </c>
      <c r="AJ212" t="e">
        <f>IF(Y212="Yes",NA(),#REF!)</f>
        <v>#N/A</v>
      </c>
      <c r="AK212" t="e">
        <f>IF(Y212="Yes",NA(),#REF!)</f>
        <v>#N/A</v>
      </c>
    </row>
    <row r="213" spans="1:37" x14ac:dyDescent="0.35">
      <c r="A213" s="12">
        <v>212</v>
      </c>
      <c r="C213">
        <v>23</v>
      </c>
      <c r="E213" s="2" t="s">
        <v>79</v>
      </c>
      <c r="F213" s="2">
        <v>7</v>
      </c>
      <c r="G213" t="s">
        <v>213</v>
      </c>
      <c r="H213" t="s">
        <v>342</v>
      </c>
      <c r="I213" t="s">
        <v>493</v>
      </c>
      <c r="J213" s="14">
        <f t="shared" si="14"/>
        <v>107.89999999999999</v>
      </c>
      <c r="K213">
        <v>1300</v>
      </c>
      <c r="N213" t="s">
        <v>54</v>
      </c>
      <c r="Q213" t="s">
        <v>38</v>
      </c>
      <c r="U213">
        <v>3</v>
      </c>
      <c r="W213" t="s">
        <v>494</v>
      </c>
      <c r="Y213" t="s">
        <v>426</v>
      </c>
      <c r="AA213">
        <f t="shared" si="16"/>
        <v>10.79</v>
      </c>
      <c r="AB213" s="22">
        <v>33.9</v>
      </c>
      <c r="AC213">
        <f t="shared" si="15"/>
        <v>9.0258742335798142E-2</v>
      </c>
      <c r="AI213" t="e">
        <f>IF(Y213="Yes",NA(),#REF!)</f>
        <v>#N/A</v>
      </c>
      <c r="AJ213" t="e">
        <f>IF(Y213="Yes",NA(),#REF!)</f>
        <v>#N/A</v>
      </c>
      <c r="AK213" t="e">
        <f>IF(Y213="Yes",NA(),#REF!)</f>
        <v>#N/A</v>
      </c>
    </row>
    <row r="214" spans="1:37" x14ac:dyDescent="0.35">
      <c r="A214" s="12">
        <v>213</v>
      </c>
      <c r="C214">
        <v>24</v>
      </c>
      <c r="E214" s="2">
        <v>4</v>
      </c>
      <c r="F214" s="2" t="s">
        <v>111</v>
      </c>
      <c r="G214" t="s">
        <v>495</v>
      </c>
      <c r="H214" t="s">
        <v>496</v>
      </c>
      <c r="J214" s="14">
        <f t="shared" si="14"/>
        <v>132.10000000000002</v>
      </c>
      <c r="K214">
        <v>1500</v>
      </c>
      <c r="N214" t="s">
        <v>54</v>
      </c>
      <c r="Q214" t="s">
        <v>55</v>
      </c>
      <c r="U214">
        <v>3</v>
      </c>
      <c r="W214" t="s">
        <v>497</v>
      </c>
      <c r="X214" t="s">
        <v>40</v>
      </c>
      <c r="Y214" t="s">
        <v>40</v>
      </c>
      <c r="AA214">
        <f t="shared" si="16"/>
        <v>13.21</v>
      </c>
      <c r="AB214" s="22">
        <v>41.5</v>
      </c>
      <c r="AC214">
        <f t="shared" si="15"/>
        <v>0.13526519869112552</v>
      </c>
      <c r="AI214" t="e">
        <f>IF(Y214="Yes",NA(),#REF!)</f>
        <v>#N/A</v>
      </c>
      <c r="AJ214" t="e">
        <f>IF(Y214="Yes",NA(),#REF!)</f>
        <v>#N/A</v>
      </c>
      <c r="AK214" t="e">
        <f>IF(Y214="Yes",NA(),#REF!)</f>
        <v>#N/A</v>
      </c>
    </row>
    <row r="215" spans="1:37" x14ac:dyDescent="0.35">
      <c r="A215" s="12">
        <v>214</v>
      </c>
      <c r="C215">
        <v>24</v>
      </c>
      <c r="E215" s="2" t="s">
        <v>281</v>
      </c>
      <c r="F215" s="2">
        <v>3</v>
      </c>
      <c r="G215" t="s">
        <v>495</v>
      </c>
      <c r="H215" t="s">
        <v>496</v>
      </c>
      <c r="J215" s="14">
        <f t="shared" si="14"/>
        <v>117.8</v>
      </c>
      <c r="K215">
        <v>1300</v>
      </c>
      <c r="N215" t="s">
        <v>54</v>
      </c>
      <c r="Q215" t="s">
        <v>55</v>
      </c>
      <c r="U215">
        <v>3</v>
      </c>
      <c r="W215" t="s">
        <v>498</v>
      </c>
      <c r="X215" t="s">
        <v>40</v>
      </c>
      <c r="Y215" t="s">
        <v>40</v>
      </c>
      <c r="AA215">
        <f t="shared" si="16"/>
        <v>11.78</v>
      </c>
      <c r="AB215" s="22">
        <v>37</v>
      </c>
      <c r="AC215">
        <f t="shared" si="15"/>
        <v>0.10752100856911068</v>
      </c>
      <c r="AI215" t="e">
        <f>IF(Y215="Yes",NA(),#REF!)</f>
        <v>#N/A</v>
      </c>
      <c r="AJ215" t="e">
        <f>IF(Y215="Yes",NA(),#REF!)</f>
        <v>#N/A</v>
      </c>
      <c r="AK215" t="e">
        <f>IF(Y215="Yes",NA(),#REF!)</f>
        <v>#N/A</v>
      </c>
    </row>
    <row r="216" spans="1:37" x14ac:dyDescent="0.35">
      <c r="A216" s="12">
        <v>215</v>
      </c>
      <c r="C216">
        <v>24</v>
      </c>
      <c r="E216" s="2">
        <v>5</v>
      </c>
      <c r="F216" s="2">
        <v>5</v>
      </c>
      <c r="G216" t="s">
        <v>114</v>
      </c>
      <c r="H216" t="s">
        <v>35</v>
      </c>
      <c r="J216" s="14">
        <f t="shared" si="14"/>
        <v>192.3</v>
      </c>
      <c r="K216">
        <v>1300</v>
      </c>
      <c r="N216" t="s">
        <v>54</v>
      </c>
      <c r="Q216">
        <v>5</v>
      </c>
      <c r="U216">
        <v>4</v>
      </c>
      <c r="W216" t="s">
        <v>499</v>
      </c>
      <c r="Y216" t="s">
        <v>40</v>
      </c>
      <c r="AA216">
        <f t="shared" si="16"/>
        <v>19.23</v>
      </c>
      <c r="AB216" s="22">
        <v>60.4</v>
      </c>
      <c r="AC216">
        <f t="shared" si="15"/>
        <v>0.28652581637800351</v>
      </c>
      <c r="AI216" t="e">
        <f>IF(Y216="Yes",NA(),#REF!)</f>
        <v>#N/A</v>
      </c>
      <c r="AJ216" t="e">
        <f>IF(Y216="Yes",NA(),#REF!)</f>
        <v>#N/A</v>
      </c>
      <c r="AK216" t="e">
        <f>IF(Y216="Yes",NA(),#REF!)</f>
        <v>#N/A</v>
      </c>
    </row>
    <row r="217" spans="1:37" x14ac:dyDescent="0.35">
      <c r="A217" s="12">
        <v>216</v>
      </c>
      <c r="C217">
        <v>24</v>
      </c>
      <c r="E217" s="2" t="s">
        <v>281</v>
      </c>
      <c r="F217" s="2" t="s">
        <v>264</v>
      </c>
      <c r="G217" t="s">
        <v>34</v>
      </c>
      <c r="H217" t="s">
        <v>155</v>
      </c>
      <c r="J217" s="14">
        <f t="shared" si="14"/>
        <v>101.89999999999999</v>
      </c>
      <c r="K217">
        <v>1300</v>
      </c>
      <c r="N217" t="s">
        <v>54</v>
      </c>
      <c r="Q217">
        <v>1</v>
      </c>
      <c r="U217">
        <v>4</v>
      </c>
      <c r="W217" t="s">
        <v>500</v>
      </c>
      <c r="X217" t="s">
        <v>40</v>
      </c>
      <c r="Y217" t="s">
        <v>40</v>
      </c>
      <c r="AA217">
        <f t="shared" si="16"/>
        <v>10.19</v>
      </c>
      <c r="AB217" s="22">
        <v>32</v>
      </c>
      <c r="AC217">
        <f t="shared" si="15"/>
        <v>8.0424771931898703E-2</v>
      </c>
      <c r="AI217" t="e">
        <f>IF(Y217="Yes",NA(),#REF!)</f>
        <v>#N/A</v>
      </c>
      <c r="AJ217" t="e">
        <f>IF(Y217="Yes",NA(),#REF!)</f>
        <v>#N/A</v>
      </c>
      <c r="AK217" t="e">
        <f>IF(Y217="Yes",NA(),#REF!)</f>
        <v>#N/A</v>
      </c>
    </row>
    <row r="218" spans="1:37" x14ac:dyDescent="0.35">
      <c r="A218" s="12">
        <v>217</v>
      </c>
      <c r="C218">
        <v>24</v>
      </c>
      <c r="E218" s="2">
        <v>7</v>
      </c>
      <c r="F218" s="2">
        <v>5</v>
      </c>
      <c r="G218" t="s">
        <v>63</v>
      </c>
      <c r="H218" t="s">
        <v>64</v>
      </c>
      <c r="J218" s="14">
        <f t="shared" si="14"/>
        <v>119.39999999999999</v>
      </c>
      <c r="K218">
        <v>1300</v>
      </c>
      <c r="N218" t="s">
        <v>54</v>
      </c>
      <c r="Q218" t="s">
        <v>38</v>
      </c>
      <c r="W218" t="s">
        <v>501</v>
      </c>
      <c r="AA218">
        <f t="shared" si="16"/>
        <v>11.94</v>
      </c>
      <c r="AB218" s="21">
        <v>37.5</v>
      </c>
      <c r="AC218">
        <f t="shared" si="15"/>
        <v>0.11044661672776618</v>
      </c>
      <c r="AI218" t="e">
        <f>IF(Y218="Yes",NA(),#REF!)</f>
        <v>#REF!</v>
      </c>
      <c r="AJ218" t="e">
        <f>IF(Y218="Yes",NA(),#REF!)</f>
        <v>#REF!</v>
      </c>
      <c r="AK218" t="e">
        <f>IF(Y218="Yes",NA(),#REF!)</f>
        <v>#REF!</v>
      </c>
    </row>
    <row r="219" spans="1:37" x14ac:dyDescent="0.35">
      <c r="A219" s="12">
        <v>218</v>
      </c>
      <c r="C219">
        <v>24</v>
      </c>
      <c r="E219" s="2" t="s">
        <v>479</v>
      </c>
      <c r="F219" s="2">
        <v>4</v>
      </c>
      <c r="G219" t="s">
        <v>34</v>
      </c>
      <c r="H219" t="s">
        <v>35</v>
      </c>
      <c r="J219" s="14">
        <f t="shared" si="14"/>
        <v>172.8</v>
      </c>
      <c r="K219">
        <v>1300</v>
      </c>
      <c r="N219" t="s">
        <v>61</v>
      </c>
      <c r="Q219">
        <v>4</v>
      </c>
      <c r="U219">
        <v>3</v>
      </c>
      <c r="W219" t="s">
        <v>502</v>
      </c>
      <c r="X219" s="24" t="s">
        <v>40</v>
      </c>
      <c r="Y219" t="s">
        <v>40</v>
      </c>
      <c r="AA219">
        <f t="shared" si="16"/>
        <v>17.28</v>
      </c>
      <c r="AB219" s="22">
        <v>54.3</v>
      </c>
      <c r="AC219">
        <f t="shared" si="15"/>
        <v>0.23157386307957417</v>
      </c>
      <c r="AI219" t="e">
        <f>IF(Y219="Yes",NA(),#REF!)</f>
        <v>#N/A</v>
      </c>
      <c r="AJ219" t="e">
        <f>IF(Y219="Yes",NA(),#REF!)</f>
        <v>#N/A</v>
      </c>
      <c r="AK219" t="e">
        <f>IF(Y219="Yes",NA(),#REF!)</f>
        <v>#N/A</v>
      </c>
    </row>
    <row r="220" spans="1:37" x14ac:dyDescent="0.35">
      <c r="A220" s="12">
        <v>219</v>
      </c>
      <c r="C220">
        <v>24</v>
      </c>
      <c r="E220" s="2">
        <v>10</v>
      </c>
      <c r="F220" s="2">
        <v>10</v>
      </c>
      <c r="G220" t="s">
        <v>47</v>
      </c>
      <c r="H220" s="25" t="s">
        <v>503</v>
      </c>
      <c r="J220" s="14">
        <f t="shared" si="14"/>
        <v>146.4</v>
      </c>
      <c r="K220">
        <v>1300</v>
      </c>
      <c r="N220" t="s">
        <v>54</v>
      </c>
      <c r="Q220" t="s">
        <v>38</v>
      </c>
      <c r="U220">
        <v>3</v>
      </c>
      <c r="W220" t="s">
        <v>504</v>
      </c>
      <c r="X220" t="s">
        <v>40</v>
      </c>
      <c r="Y220" t="s">
        <v>40</v>
      </c>
      <c r="AA220">
        <f t="shared" si="16"/>
        <v>14.64</v>
      </c>
      <c r="AB220">
        <v>46</v>
      </c>
      <c r="AC220">
        <f t="shared" ref="AC220:AC251" si="17">PI()*(AB220/2)*(AB220/2)/10000</f>
        <v>0.16619025137490004</v>
      </c>
      <c r="AI220" t="e">
        <f>IF(Y220="Yes",NA(),#REF!)</f>
        <v>#N/A</v>
      </c>
      <c r="AJ220" t="e">
        <f>IF(Y220="Yes",NA(),#REF!)</f>
        <v>#N/A</v>
      </c>
      <c r="AK220" t="e">
        <f>IF(Y220="Yes",NA(),#REF!)</f>
        <v>#N/A</v>
      </c>
    </row>
    <row r="221" spans="1:37" x14ac:dyDescent="0.35">
      <c r="A221" s="12">
        <v>220</v>
      </c>
      <c r="C221">
        <v>24</v>
      </c>
      <c r="E221" s="2">
        <v>6</v>
      </c>
      <c r="F221" s="2" t="s">
        <v>58</v>
      </c>
      <c r="G221" t="s">
        <v>114</v>
      </c>
      <c r="H221" t="s">
        <v>35</v>
      </c>
      <c r="J221" s="14">
        <f t="shared" si="14"/>
        <v>246.70000000000002</v>
      </c>
      <c r="K221">
        <v>1300</v>
      </c>
      <c r="N221" t="s">
        <v>54</v>
      </c>
      <c r="Q221" t="s">
        <v>38</v>
      </c>
      <c r="U221">
        <v>3</v>
      </c>
      <c r="W221" t="s">
        <v>505</v>
      </c>
      <c r="X221" t="s">
        <v>40</v>
      </c>
      <c r="Y221" t="s">
        <v>40</v>
      </c>
      <c r="AA221">
        <f t="shared" si="16"/>
        <v>24.67</v>
      </c>
      <c r="AB221" s="22">
        <v>77.5</v>
      </c>
      <c r="AC221">
        <f t="shared" si="17"/>
        <v>0.4717297718905924</v>
      </c>
      <c r="AI221" t="e">
        <f>IF(Y221="Yes",NA(),#REF!)</f>
        <v>#N/A</v>
      </c>
      <c r="AJ221" t="e">
        <f>IF(Y221="Yes",NA(),#REF!)</f>
        <v>#N/A</v>
      </c>
      <c r="AK221" t="e">
        <f>IF(Y221="Yes",NA(),#REF!)</f>
        <v>#N/A</v>
      </c>
    </row>
    <row r="222" spans="1:37" x14ac:dyDescent="0.35">
      <c r="A222" s="12">
        <v>221</v>
      </c>
      <c r="C222">
        <v>24</v>
      </c>
      <c r="E222" s="2" t="s">
        <v>121</v>
      </c>
      <c r="F222" s="2" t="s">
        <v>281</v>
      </c>
      <c r="G222" t="s">
        <v>137</v>
      </c>
      <c r="H222" t="s">
        <v>138</v>
      </c>
      <c r="J222" s="14">
        <f t="shared" si="14"/>
        <v>504.5</v>
      </c>
      <c r="K222">
        <v>1300</v>
      </c>
      <c r="N222" t="s">
        <v>54</v>
      </c>
      <c r="Q222">
        <v>5</v>
      </c>
      <c r="U222">
        <v>3</v>
      </c>
      <c r="W222" t="s">
        <v>506</v>
      </c>
      <c r="X222" t="s">
        <v>40</v>
      </c>
      <c r="Y222" t="s">
        <v>40</v>
      </c>
      <c r="AA222">
        <f t="shared" si="16"/>
        <v>50.45</v>
      </c>
      <c r="AB222" s="22">
        <v>158.5</v>
      </c>
      <c r="AC222">
        <f t="shared" si="17"/>
        <v>1.9730969010411548</v>
      </c>
      <c r="AI222" t="e">
        <f>IF(Y222="Yes",NA(),#REF!)</f>
        <v>#N/A</v>
      </c>
      <c r="AJ222" t="e">
        <f>IF(Y222="Yes",NA(),#REF!)</f>
        <v>#N/A</v>
      </c>
      <c r="AK222" t="e">
        <f>IF(Y222="Yes",NA(),#REF!)</f>
        <v>#N/A</v>
      </c>
    </row>
    <row r="223" spans="1:37" x14ac:dyDescent="0.35">
      <c r="A223" s="12">
        <v>222</v>
      </c>
      <c r="C223">
        <v>25</v>
      </c>
      <c r="E223" s="2">
        <v>4</v>
      </c>
      <c r="F223" s="2">
        <v>4</v>
      </c>
      <c r="G223" t="s">
        <v>507</v>
      </c>
      <c r="H223" t="s">
        <v>508</v>
      </c>
      <c r="J223" s="14">
        <f t="shared" si="14"/>
        <v>103.5</v>
      </c>
      <c r="K223">
        <v>1300</v>
      </c>
      <c r="N223" t="s">
        <v>61</v>
      </c>
      <c r="Q223">
        <v>1</v>
      </c>
      <c r="U223">
        <v>3</v>
      </c>
      <c r="W223" t="s">
        <v>509</v>
      </c>
      <c r="X223" t="s">
        <v>40</v>
      </c>
      <c r="Y223" t="s">
        <v>40</v>
      </c>
      <c r="AA223">
        <f t="shared" si="16"/>
        <v>10.35</v>
      </c>
      <c r="AB223" s="22">
        <v>32.5</v>
      </c>
      <c r="AC223">
        <f t="shared" si="17"/>
        <v>8.2957681008855463E-2</v>
      </c>
      <c r="AI223" t="e">
        <f>IF(Y223="Yes",NA(),#REF!)</f>
        <v>#N/A</v>
      </c>
      <c r="AJ223" t="e">
        <f>IF(Y223="Yes",NA(),#REF!)</f>
        <v>#N/A</v>
      </c>
      <c r="AK223" t="e">
        <f>IF(Y223="Yes",NA(),#REF!)</f>
        <v>#N/A</v>
      </c>
    </row>
    <row r="224" spans="1:37" x14ac:dyDescent="0.35">
      <c r="A224" s="12">
        <v>223</v>
      </c>
      <c r="C224">
        <v>25</v>
      </c>
      <c r="E224" s="2">
        <v>5</v>
      </c>
      <c r="F224" s="2">
        <v>1</v>
      </c>
      <c r="G224" t="s">
        <v>510</v>
      </c>
      <c r="H224" t="s">
        <v>511</v>
      </c>
      <c r="J224" s="14">
        <f t="shared" si="14"/>
        <v>130.5</v>
      </c>
      <c r="K224">
        <v>1300</v>
      </c>
      <c r="N224" t="s">
        <v>54</v>
      </c>
      <c r="Q224">
        <v>1</v>
      </c>
      <c r="U224">
        <v>3</v>
      </c>
      <c r="W224" t="s">
        <v>512</v>
      </c>
      <c r="X224" t="s">
        <v>40</v>
      </c>
      <c r="Y224" t="s">
        <v>40</v>
      </c>
      <c r="AA224">
        <f t="shared" si="16"/>
        <v>13.05</v>
      </c>
      <c r="AB224" s="26">
        <v>41</v>
      </c>
      <c r="AC224">
        <f t="shared" si="17"/>
        <v>0.13202543126711105</v>
      </c>
      <c r="AI224" t="e">
        <f>IF(Y224="Yes",NA(),#REF!)</f>
        <v>#N/A</v>
      </c>
      <c r="AJ224" t="e">
        <f>IF(Y224="Yes",NA(),#REF!)</f>
        <v>#N/A</v>
      </c>
      <c r="AK224" t="e">
        <f>IF(Y224="Yes",NA(),#REF!)</f>
        <v>#N/A</v>
      </c>
    </row>
    <row r="225" spans="1:37" x14ac:dyDescent="0.35">
      <c r="A225" s="12">
        <v>224</v>
      </c>
      <c r="C225">
        <v>25</v>
      </c>
      <c r="E225" s="2">
        <v>10</v>
      </c>
      <c r="F225" s="2">
        <v>2</v>
      </c>
      <c r="G225" t="s">
        <v>114</v>
      </c>
      <c r="H225" t="s">
        <v>35</v>
      </c>
      <c r="J225" s="14">
        <f t="shared" si="14"/>
        <v>121.89999999999999</v>
      </c>
      <c r="K225">
        <v>1300</v>
      </c>
      <c r="N225" t="s">
        <v>61</v>
      </c>
      <c r="Q225" t="s">
        <v>55</v>
      </c>
      <c r="W225" t="s">
        <v>513</v>
      </c>
      <c r="X225" t="s">
        <v>40</v>
      </c>
      <c r="Y225" t="s">
        <v>40</v>
      </c>
      <c r="AA225">
        <f t="shared" si="16"/>
        <v>12.19</v>
      </c>
      <c r="AB225" s="22">
        <v>38.299999999999997</v>
      </c>
      <c r="AC225">
        <f t="shared" si="17"/>
        <v>0.11520927119060827</v>
      </c>
      <c r="AI225" t="e">
        <f>IF(Y225="Yes",NA(),#REF!)</f>
        <v>#N/A</v>
      </c>
      <c r="AJ225" t="e">
        <f>IF(Y225="Yes",NA(),#REF!)</f>
        <v>#N/A</v>
      </c>
      <c r="AK225" t="e">
        <f>IF(Y225="Yes",NA(),#REF!)</f>
        <v>#N/A</v>
      </c>
    </row>
    <row r="226" spans="1:37" x14ac:dyDescent="0.35">
      <c r="A226" s="12">
        <v>225</v>
      </c>
      <c r="C226">
        <v>25</v>
      </c>
      <c r="E226" s="2" t="s">
        <v>52</v>
      </c>
      <c r="F226" s="2" t="s">
        <v>52</v>
      </c>
      <c r="G226" t="s">
        <v>47</v>
      </c>
      <c r="H226" t="s">
        <v>514</v>
      </c>
      <c r="I226" t="s">
        <v>515</v>
      </c>
      <c r="J226" s="14">
        <f t="shared" si="14"/>
        <v>117.8</v>
      </c>
      <c r="K226">
        <v>1300</v>
      </c>
      <c r="N226" t="s">
        <v>61</v>
      </c>
      <c r="Q226">
        <v>1</v>
      </c>
      <c r="U226">
        <v>5</v>
      </c>
      <c r="W226" t="s">
        <v>516</v>
      </c>
      <c r="Y226" t="s">
        <v>40</v>
      </c>
      <c r="AA226">
        <f t="shared" si="16"/>
        <v>11.78</v>
      </c>
      <c r="AB226" s="26">
        <v>37</v>
      </c>
      <c r="AC226">
        <f t="shared" si="17"/>
        <v>0.10752100856911068</v>
      </c>
      <c r="AI226" t="e">
        <f>IF(Y226="Yes",NA(),#REF!)</f>
        <v>#N/A</v>
      </c>
      <c r="AJ226" t="e">
        <f>IF(Y226="Yes",NA(),#REF!)</f>
        <v>#N/A</v>
      </c>
      <c r="AK226" t="e">
        <f>IF(Y226="Yes",NA(),#REF!)</f>
        <v>#N/A</v>
      </c>
    </row>
    <row r="227" spans="1:37" x14ac:dyDescent="0.35">
      <c r="A227" s="12">
        <v>226</v>
      </c>
      <c r="C227">
        <v>25</v>
      </c>
      <c r="E227" s="2" t="s">
        <v>201</v>
      </c>
      <c r="F227" s="2" t="s">
        <v>52</v>
      </c>
      <c r="G227" t="s">
        <v>63</v>
      </c>
      <c r="H227" t="s">
        <v>64</v>
      </c>
      <c r="J227" s="14">
        <f t="shared" si="14"/>
        <v>156</v>
      </c>
      <c r="K227">
        <v>1300</v>
      </c>
      <c r="N227" t="s">
        <v>54</v>
      </c>
      <c r="Q227">
        <v>5</v>
      </c>
      <c r="W227" t="s">
        <v>517</v>
      </c>
      <c r="AA227">
        <f t="shared" si="16"/>
        <v>15.6</v>
      </c>
      <c r="AB227" s="26">
        <v>49</v>
      </c>
      <c r="AC227">
        <f t="shared" si="17"/>
        <v>0.18857409903172731</v>
      </c>
      <c r="AI227" t="e">
        <f>IF(Y227="Yes",NA(),#REF!)</f>
        <v>#REF!</v>
      </c>
      <c r="AJ227" t="e">
        <f>IF(Y227="Yes",NA(),#REF!)</f>
        <v>#REF!</v>
      </c>
      <c r="AK227" t="e">
        <f>IF(Y227="Yes",NA(),#REF!)</f>
        <v>#REF!</v>
      </c>
    </row>
    <row r="228" spans="1:37" x14ac:dyDescent="0.35">
      <c r="A228" s="12">
        <v>227</v>
      </c>
      <c r="C228">
        <v>25</v>
      </c>
      <c r="E228" s="2" t="s">
        <v>174</v>
      </c>
      <c r="F228" s="2" t="s">
        <v>75</v>
      </c>
      <c r="G228" t="s">
        <v>114</v>
      </c>
      <c r="H228" t="s">
        <v>35</v>
      </c>
      <c r="I228" t="s">
        <v>518</v>
      </c>
      <c r="J228" s="14">
        <f t="shared" si="14"/>
        <v>103.5</v>
      </c>
      <c r="K228">
        <v>1300</v>
      </c>
      <c r="N228" t="s">
        <v>54</v>
      </c>
      <c r="Q228" t="s">
        <v>55</v>
      </c>
      <c r="U228">
        <v>3</v>
      </c>
      <c r="W228" t="s">
        <v>519</v>
      </c>
      <c r="X228" t="s">
        <v>40</v>
      </c>
      <c r="Y228" t="s">
        <v>40</v>
      </c>
      <c r="AA228">
        <f t="shared" si="16"/>
        <v>10.35</v>
      </c>
      <c r="AB228">
        <v>32.5</v>
      </c>
      <c r="AC228">
        <f t="shared" si="17"/>
        <v>8.2957681008855463E-2</v>
      </c>
      <c r="AI228" t="e">
        <f>IF(Y228="Yes",NA(),#REF!)</f>
        <v>#N/A</v>
      </c>
      <c r="AJ228" t="e">
        <f>IF(Y228="Yes",NA(),#REF!)</f>
        <v>#N/A</v>
      </c>
      <c r="AK228" t="e">
        <f>IF(Y228="Yes",NA(),#REF!)</f>
        <v>#N/A</v>
      </c>
    </row>
    <row r="229" spans="1:37" x14ac:dyDescent="0.35">
      <c r="A229" s="12">
        <v>228</v>
      </c>
      <c r="C229">
        <v>26</v>
      </c>
      <c r="E229" s="2">
        <v>7</v>
      </c>
      <c r="F229" s="2" t="s">
        <v>520</v>
      </c>
      <c r="G229" t="s">
        <v>34</v>
      </c>
      <c r="H229" t="s">
        <v>35</v>
      </c>
      <c r="J229" s="14">
        <f t="shared" si="14"/>
        <v>182.39999999999998</v>
      </c>
      <c r="K229">
        <v>1300</v>
      </c>
      <c r="N229" t="s">
        <v>54</v>
      </c>
      <c r="Q229">
        <v>4</v>
      </c>
      <c r="U229">
        <v>3</v>
      </c>
      <c r="W229" t="s">
        <v>521</v>
      </c>
      <c r="X229" t="s">
        <v>40</v>
      </c>
      <c r="Y229" t="s">
        <v>40</v>
      </c>
      <c r="AA229">
        <f t="shared" si="16"/>
        <v>18.239999999999998</v>
      </c>
      <c r="AB229">
        <v>57.3</v>
      </c>
      <c r="AC229">
        <f t="shared" si="17"/>
        <v>0.25786899359012078</v>
      </c>
      <c r="AI229" t="e">
        <f>IF(Y229="Yes",NA(),#REF!)</f>
        <v>#N/A</v>
      </c>
      <c r="AJ229" t="e">
        <f>IF(Y229="Yes",NA(),#REF!)</f>
        <v>#N/A</v>
      </c>
      <c r="AK229" t="e">
        <f>IF(Y229="Yes",NA(),#REF!)</f>
        <v>#N/A</v>
      </c>
    </row>
    <row r="230" spans="1:37" x14ac:dyDescent="0.35">
      <c r="A230" s="12">
        <v>229</v>
      </c>
      <c r="C230">
        <v>26</v>
      </c>
      <c r="E230" s="23" t="s">
        <v>52</v>
      </c>
      <c r="F230" s="23">
        <v>1</v>
      </c>
      <c r="G230" t="s">
        <v>34</v>
      </c>
      <c r="H230" t="s">
        <v>35</v>
      </c>
      <c r="J230" s="14">
        <f t="shared" si="14"/>
        <v>130.5</v>
      </c>
      <c r="K230">
        <v>1300</v>
      </c>
      <c r="N230" t="s">
        <v>54</v>
      </c>
      <c r="Q230" t="s">
        <v>38</v>
      </c>
      <c r="U230">
        <v>3</v>
      </c>
      <c r="W230" t="s">
        <v>522</v>
      </c>
      <c r="X230" t="s">
        <v>40</v>
      </c>
      <c r="Y230" t="s">
        <v>40</v>
      </c>
      <c r="Z230" t="s">
        <v>523</v>
      </c>
      <c r="AA230">
        <f t="shared" si="16"/>
        <v>13.05</v>
      </c>
      <c r="AB230" s="26">
        <v>41</v>
      </c>
      <c r="AC230">
        <f t="shared" si="17"/>
        <v>0.13202543126711105</v>
      </c>
      <c r="AI230" t="e">
        <f>IF(Y230="Yes",NA(),#REF!)</f>
        <v>#N/A</v>
      </c>
      <c r="AJ230" t="e">
        <f>IF(Y230="Yes",NA(),#REF!)</f>
        <v>#N/A</v>
      </c>
      <c r="AK230" t="e">
        <f>IF(Y230="Yes",NA(),#REF!)</f>
        <v>#N/A</v>
      </c>
    </row>
    <row r="231" spans="1:37" x14ac:dyDescent="0.35">
      <c r="A231" s="12">
        <v>230</v>
      </c>
      <c r="C231">
        <v>26</v>
      </c>
      <c r="E231" s="2">
        <v>9</v>
      </c>
      <c r="F231" s="2">
        <v>3</v>
      </c>
      <c r="G231" t="s">
        <v>63</v>
      </c>
      <c r="H231" t="s">
        <v>64</v>
      </c>
      <c r="J231" s="14">
        <f t="shared" si="14"/>
        <v>149</v>
      </c>
      <c r="K231">
        <v>1300</v>
      </c>
      <c r="N231" t="s">
        <v>54</v>
      </c>
      <c r="Q231" t="s">
        <v>38</v>
      </c>
      <c r="W231" t="s">
        <v>524</v>
      </c>
      <c r="AA231">
        <f t="shared" si="16"/>
        <v>14.9</v>
      </c>
      <c r="AB231" s="26">
        <v>46.8</v>
      </c>
      <c r="AC231">
        <f t="shared" si="17"/>
        <v>0.17202104733996268</v>
      </c>
      <c r="AI231" t="e">
        <f>IF(Y231="Yes",NA(),#REF!)</f>
        <v>#REF!</v>
      </c>
      <c r="AJ231" t="e">
        <f>IF(Y231="Yes",NA(),#REF!)</f>
        <v>#REF!</v>
      </c>
      <c r="AK231" t="e">
        <f>IF(Y231="Yes",NA(),#REF!)</f>
        <v>#REF!</v>
      </c>
    </row>
    <row r="232" spans="1:37" x14ac:dyDescent="0.35">
      <c r="A232" s="12">
        <v>231</v>
      </c>
      <c r="C232">
        <v>26</v>
      </c>
      <c r="E232" s="2">
        <v>9</v>
      </c>
      <c r="F232" s="2">
        <v>5</v>
      </c>
      <c r="G232" t="s">
        <v>63</v>
      </c>
      <c r="H232" t="s">
        <v>64</v>
      </c>
      <c r="J232" s="14">
        <f t="shared" si="14"/>
        <v>125.39999999999999</v>
      </c>
      <c r="K232">
        <v>1300</v>
      </c>
      <c r="N232" t="s">
        <v>61</v>
      </c>
      <c r="Q232" t="s">
        <v>38</v>
      </c>
      <c r="W232" t="s">
        <v>525</v>
      </c>
      <c r="AA232">
        <f t="shared" si="16"/>
        <v>12.54</v>
      </c>
      <c r="AB232" s="26">
        <v>39.4</v>
      </c>
      <c r="AC232">
        <f t="shared" si="17"/>
        <v>0.12192206929316626</v>
      </c>
      <c r="AI232" t="e">
        <f>IF(Y232="Yes",NA(),#REF!)</f>
        <v>#REF!</v>
      </c>
      <c r="AJ232" t="e">
        <f>IF(Y232="Yes",NA(),#REF!)</f>
        <v>#REF!</v>
      </c>
      <c r="AK232" t="e">
        <f>IF(Y232="Yes",NA(),#REF!)</f>
        <v>#REF!</v>
      </c>
    </row>
    <row r="233" spans="1:37" x14ac:dyDescent="0.35">
      <c r="A233" s="12">
        <v>232</v>
      </c>
      <c r="C233">
        <v>26</v>
      </c>
      <c r="E233" s="2" t="s">
        <v>58</v>
      </c>
      <c r="F233" s="2" t="s">
        <v>150</v>
      </c>
      <c r="G233" t="s">
        <v>108</v>
      </c>
      <c r="H233" t="s">
        <v>526</v>
      </c>
      <c r="I233" t="s">
        <v>527</v>
      </c>
      <c r="J233" s="14">
        <f t="shared" si="14"/>
        <v>256.2</v>
      </c>
      <c r="K233">
        <v>1300</v>
      </c>
      <c r="N233" t="s">
        <v>54</v>
      </c>
      <c r="Q233">
        <v>5</v>
      </c>
      <c r="U233">
        <v>3</v>
      </c>
      <c r="W233" t="s">
        <v>528</v>
      </c>
      <c r="X233" t="s">
        <v>40</v>
      </c>
      <c r="Y233" t="s">
        <v>40</v>
      </c>
      <c r="AA233">
        <f t="shared" si="16"/>
        <v>25.62</v>
      </c>
      <c r="AB233">
        <v>80.5</v>
      </c>
      <c r="AC233">
        <f t="shared" si="17"/>
        <v>0.50895764483563144</v>
      </c>
      <c r="AI233" t="e">
        <f>IF(Y233="Yes",NA(),#REF!)</f>
        <v>#N/A</v>
      </c>
      <c r="AJ233" t="e">
        <f>IF(Y233="Yes",NA(),#REF!)</f>
        <v>#N/A</v>
      </c>
      <c r="AK233" t="e">
        <f>IF(Y233="Yes",NA(),#REF!)</f>
        <v>#N/A</v>
      </c>
    </row>
    <row r="234" spans="1:37" x14ac:dyDescent="0.35">
      <c r="A234" s="12">
        <v>233</v>
      </c>
      <c r="C234">
        <v>26</v>
      </c>
      <c r="E234" s="2" t="s">
        <v>281</v>
      </c>
      <c r="F234" s="2">
        <v>4</v>
      </c>
      <c r="G234" t="s">
        <v>63</v>
      </c>
      <c r="H234" t="s">
        <v>64</v>
      </c>
      <c r="J234" s="14">
        <f t="shared" si="14"/>
        <v>121</v>
      </c>
      <c r="K234">
        <v>1300</v>
      </c>
      <c r="N234" t="s">
        <v>54</v>
      </c>
      <c r="Q234" t="s">
        <v>529</v>
      </c>
      <c r="W234" t="s">
        <v>530</v>
      </c>
      <c r="AA234">
        <f t="shared" si="16"/>
        <v>12.1</v>
      </c>
      <c r="AB234" s="26">
        <v>38</v>
      </c>
      <c r="AC234">
        <f t="shared" si="17"/>
        <v>0.11341149479459152</v>
      </c>
      <c r="AI234" t="e">
        <f>IF(Y234="Yes",NA(),#REF!)</f>
        <v>#REF!</v>
      </c>
      <c r="AJ234" t="e">
        <f>IF(Y234="Yes",NA(),#REF!)</f>
        <v>#REF!</v>
      </c>
      <c r="AK234" t="e">
        <f>IF(Y234="Yes",NA(),#REF!)</f>
        <v>#REF!</v>
      </c>
    </row>
    <row r="235" spans="1:37" x14ac:dyDescent="0.35">
      <c r="A235" s="12">
        <v>234</v>
      </c>
      <c r="C235">
        <v>26</v>
      </c>
      <c r="E235" s="2" t="s">
        <v>51</v>
      </c>
      <c r="F235" s="2">
        <v>9</v>
      </c>
      <c r="G235" t="s">
        <v>63</v>
      </c>
      <c r="H235" t="s">
        <v>64</v>
      </c>
      <c r="J235" s="14">
        <f t="shared" si="14"/>
        <v>107.89999999999999</v>
      </c>
      <c r="K235">
        <v>1300</v>
      </c>
      <c r="N235" t="s">
        <v>54</v>
      </c>
      <c r="Q235" t="s">
        <v>38</v>
      </c>
      <c r="W235" t="s">
        <v>531</v>
      </c>
      <c r="AA235">
        <f t="shared" si="16"/>
        <v>10.79</v>
      </c>
      <c r="AB235" s="26">
        <v>33.9</v>
      </c>
      <c r="AC235">
        <f t="shared" si="17"/>
        <v>9.0258742335798142E-2</v>
      </c>
      <c r="AI235" t="e">
        <f>IF(Y235="Yes",NA(),#REF!)</f>
        <v>#REF!</v>
      </c>
      <c r="AJ235" t="e">
        <f>IF(Y235="Yes",NA(),#REF!)</f>
        <v>#REF!</v>
      </c>
      <c r="AK235" t="e">
        <f>IF(Y235="Yes",NA(),#REF!)</f>
        <v>#REF!</v>
      </c>
    </row>
    <row r="236" spans="1:37" x14ac:dyDescent="0.35">
      <c r="A236" s="12">
        <v>235</v>
      </c>
      <c r="C236">
        <v>26</v>
      </c>
      <c r="E236" s="2" t="s">
        <v>432</v>
      </c>
      <c r="F236" s="2" t="s">
        <v>432</v>
      </c>
      <c r="G236" t="s">
        <v>63</v>
      </c>
      <c r="H236" t="s">
        <v>64</v>
      </c>
      <c r="J236" s="14">
        <f t="shared" si="14"/>
        <v>118.4</v>
      </c>
      <c r="K236">
        <v>1300</v>
      </c>
      <c r="N236" t="s">
        <v>54</v>
      </c>
      <c r="Q236">
        <v>4</v>
      </c>
      <c r="W236" t="s">
        <v>532</v>
      </c>
      <c r="AA236">
        <f t="shared" si="16"/>
        <v>11.84</v>
      </c>
      <c r="AB236" s="26">
        <v>37.200000000000003</v>
      </c>
      <c r="AC236">
        <f t="shared" si="17"/>
        <v>0.10868653944359251</v>
      </c>
      <c r="AI236" t="e">
        <f>IF(Y236="Yes",NA(),#REF!)</f>
        <v>#REF!</v>
      </c>
      <c r="AJ236" t="e">
        <f>IF(Y236="Yes",NA(),#REF!)</f>
        <v>#REF!</v>
      </c>
      <c r="AK236" t="e">
        <f>IF(Y236="Yes",NA(),#REF!)</f>
        <v>#REF!</v>
      </c>
    </row>
    <row r="237" spans="1:37" x14ac:dyDescent="0.35">
      <c r="A237" s="12">
        <v>236</v>
      </c>
      <c r="C237">
        <v>26</v>
      </c>
      <c r="E237" s="2">
        <v>6</v>
      </c>
      <c r="F237" s="2">
        <v>10</v>
      </c>
      <c r="G237" t="s">
        <v>333</v>
      </c>
      <c r="H237" t="s">
        <v>334</v>
      </c>
      <c r="J237" s="14">
        <f t="shared" si="14"/>
        <v>176.70000000000002</v>
      </c>
      <c r="K237">
        <v>1300</v>
      </c>
      <c r="N237" t="s">
        <v>54</v>
      </c>
      <c r="Q237" t="s">
        <v>38</v>
      </c>
      <c r="W237" t="s">
        <v>533</v>
      </c>
      <c r="X237" t="s">
        <v>40</v>
      </c>
      <c r="Y237" t="s">
        <v>40</v>
      </c>
      <c r="AA237">
        <f t="shared" si="16"/>
        <v>17.670000000000002</v>
      </c>
      <c r="AB237">
        <v>55.5</v>
      </c>
      <c r="AC237">
        <f t="shared" si="17"/>
        <v>0.24192226928049901</v>
      </c>
      <c r="AI237" t="e">
        <f>IF(Y237="Yes",NA(),#REF!)</f>
        <v>#N/A</v>
      </c>
      <c r="AJ237" t="e">
        <f>IF(Y237="Yes",NA(),#REF!)</f>
        <v>#N/A</v>
      </c>
      <c r="AK237" t="e">
        <f>IF(Y237="Yes",NA(),#REF!)</f>
        <v>#N/A</v>
      </c>
    </row>
    <row r="238" spans="1:37" x14ac:dyDescent="0.35">
      <c r="A238" s="12">
        <v>237</v>
      </c>
      <c r="C238">
        <v>26</v>
      </c>
      <c r="E238" s="2" t="s">
        <v>121</v>
      </c>
      <c r="F238" s="2">
        <v>6</v>
      </c>
      <c r="G238" t="s">
        <v>63</v>
      </c>
      <c r="H238" t="s">
        <v>64</v>
      </c>
      <c r="J238" s="14">
        <f t="shared" si="14"/>
        <v>108.2</v>
      </c>
      <c r="K238">
        <v>1300</v>
      </c>
      <c r="N238" t="s">
        <v>54</v>
      </c>
      <c r="Q238" t="s">
        <v>259</v>
      </c>
      <c r="W238" t="s">
        <v>534</v>
      </c>
      <c r="AA238">
        <f t="shared" si="16"/>
        <v>10.82</v>
      </c>
      <c r="AB238" s="26">
        <v>34</v>
      </c>
      <c r="AC238">
        <f t="shared" si="17"/>
        <v>9.0792027688745031E-2</v>
      </c>
      <c r="AI238" t="e">
        <f>IF(Y238="Yes",NA(),#REF!)</f>
        <v>#REF!</v>
      </c>
      <c r="AJ238" t="e">
        <f>IF(Y238="Yes",NA(),#REF!)</f>
        <v>#REF!</v>
      </c>
      <c r="AK238" t="e">
        <f>IF(Y238="Yes",NA(),#REF!)</f>
        <v>#REF!</v>
      </c>
    </row>
    <row r="239" spans="1:37" x14ac:dyDescent="0.35">
      <c r="A239" s="12">
        <v>238</v>
      </c>
      <c r="C239">
        <v>26</v>
      </c>
      <c r="E239" s="2" t="s">
        <v>535</v>
      </c>
      <c r="F239" s="2" t="s">
        <v>51</v>
      </c>
      <c r="G239" t="s">
        <v>63</v>
      </c>
      <c r="H239" t="s">
        <v>64</v>
      </c>
      <c r="J239" s="14">
        <f t="shared" si="14"/>
        <v>157.6</v>
      </c>
      <c r="K239">
        <v>1300</v>
      </c>
      <c r="N239" t="s">
        <v>54</v>
      </c>
      <c r="Q239">
        <v>5</v>
      </c>
      <c r="W239" t="s">
        <v>536</v>
      </c>
      <c r="AA239">
        <f t="shared" si="16"/>
        <v>15.76</v>
      </c>
      <c r="AB239" s="26">
        <v>49.5</v>
      </c>
      <c r="AC239">
        <f t="shared" si="17"/>
        <v>0.19244218498645979</v>
      </c>
      <c r="AI239" t="e">
        <f>IF(Y239="Yes",NA(),#REF!)</f>
        <v>#REF!</v>
      </c>
      <c r="AJ239" t="e">
        <f>IF(Y239="Yes",NA(),#REF!)</f>
        <v>#REF!</v>
      </c>
      <c r="AK239" t="e">
        <f>IF(Y239="Yes",NA(),#REF!)</f>
        <v>#REF!</v>
      </c>
    </row>
    <row r="240" spans="1:37" x14ac:dyDescent="0.35">
      <c r="A240" s="12">
        <v>239</v>
      </c>
      <c r="C240">
        <v>26</v>
      </c>
      <c r="E240" s="2">
        <v>0</v>
      </c>
      <c r="F240" s="2">
        <v>5</v>
      </c>
      <c r="G240" t="s">
        <v>63</v>
      </c>
      <c r="H240" t="s">
        <v>64</v>
      </c>
      <c r="J240" s="14">
        <f t="shared" si="14"/>
        <v>152.79999999999998</v>
      </c>
      <c r="K240">
        <v>1300</v>
      </c>
      <c r="N240" t="s">
        <v>54</v>
      </c>
      <c r="Q240">
        <v>4</v>
      </c>
      <c r="W240" t="s">
        <v>537</v>
      </c>
      <c r="AA240">
        <f t="shared" si="16"/>
        <v>15.28</v>
      </c>
      <c r="AB240" s="26">
        <v>48</v>
      </c>
      <c r="AC240">
        <f t="shared" si="17"/>
        <v>0.18095573684677208</v>
      </c>
      <c r="AI240" t="e">
        <f>IF(Y240="Yes",NA(),#REF!)</f>
        <v>#REF!</v>
      </c>
      <c r="AJ240" t="e">
        <f>IF(Y240="Yes",NA(),#REF!)</f>
        <v>#REF!</v>
      </c>
      <c r="AK240" t="e">
        <f>IF(Y240="Yes",NA(),#REF!)</f>
        <v>#REF!</v>
      </c>
    </row>
    <row r="241" spans="1:37" x14ac:dyDescent="0.35">
      <c r="A241" s="12">
        <v>240</v>
      </c>
      <c r="C241">
        <v>27</v>
      </c>
      <c r="E241" s="2" t="s">
        <v>538</v>
      </c>
      <c r="F241" s="2">
        <v>5</v>
      </c>
      <c r="G241" t="s">
        <v>66</v>
      </c>
      <c r="H241" t="s">
        <v>67</v>
      </c>
      <c r="J241" s="14">
        <f t="shared" si="14"/>
        <v>111.4</v>
      </c>
      <c r="K241">
        <v>1300</v>
      </c>
      <c r="N241" t="s">
        <v>61</v>
      </c>
      <c r="Q241">
        <v>1</v>
      </c>
      <c r="W241" t="s">
        <v>539</v>
      </c>
      <c r="X241" t="s">
        <v>40</v>
      </c>
      <c r="Y241" t="s">
        <v>40</v>
      </c>
      <c r="AA241">
        <f t="shared" si="16"/>
        <v>11.14</v>
      </c>
      <c r="AB241" s="26">
        <v>35</v>
      </c>
      <c r="AC241">
        <f t="shared" si="17"/>
        <v>9.6211275016187411E-2</v>
      </c>
      <c r="AI241" t="e">
        <f>IF(Y241="Yes",NA(),#REF!)</f>
        <v>#N/A</v>
      </c>
      <c r="AJ241" t="e">
        <f>IF(Y241="Yes",NA(),#REF!)</f>
        <v>#N/A</v>
      </c>
      <c r="AK241" t="e">
        <f>IF(Y241="Yes",NA(),#REF!)</f>
        <v>#N/A</v>
      </c>
    </row>
    <row r="242" spans="1:37" x14ac:dyDescent="0.35">
      <c r="A242" s="12">
        <v>241</v>
      </c>
      <c r="C242">
        <v>27</v>
      </c>
      <c r="E242" s="2">
        <v>5</v>
      </c>
      <c r="F242" s="2">
        <v>4</v>
      </c>
      <c r="G242" t="s">
        <v>47</v>
      </c>
      <c r="H242" t="s">
        <v>503</v>
      </c>
      <c r="J242" s="14">
        <f t="shared" si="14"/>
        <v>333.6</v>
      </c>
      <c r="K242">
        <v>1300</v>
      </c>
      <c r="N242" t="s">
        <v>54</v>
      </c>
      <c r="Q242">
        <v>4</v>
      </c>
      <c r="W242" t="s">
        <v>540</v>
      </c>
      <c r="X242" t="s">
        <v>40</v>
      </c>
      <c r="Y242" t="s">
        <v>40</v>
      </c>
      <c r="AA242">
        <f t="shared" si="16"/>
        <v>33.36</v>
      </c>
      <c r="AB242">
        <v>104.8</v>
      </c>
      <c r="AC242">
        <f t="shared" si="17"/>
        <v>0.86260594445207095</v>
      </c>
      <c r="AI242" t="e">
        <f>IF(Y242="Yes",NA(),#REF!)</f>
        <v>#N/A</v>
      </c>
      <c r="AJ242" t="e">
        <f>IF(Y242="Yes",NA(),#REF!)</f>
        <v>#N/A</v>
      </c>
      <c r="AK242" t="e">
        <f>IF(Y242="Yes",NA(),#REF!)</f>
        <v>#N/A</v>
      </c>
    </row>
    <row r="243" spans="1:37" x14ac:dyDescent="0.35">
      <c r="A243" s="12">
        <v>242</v>
      </c>
      <c r="C243">
        <v>27</v>
      </c>
      <c r="E243" s="2">
        <v>5</v>
      </c>
      <c r="F243" s="2" t="s">
        <v>33</v>
      </c>
      <c r="G243" t="s">
        <v>66</v>
      </c>
      <c r="H243" t="s">
        <v>35</v>
      </c>
      <c r="J243" s="14">
        <f t="shared" si="14"/>
        <v>331</v>
      </c>
      <c r="K243">
        <v>1300</v>
      </c>
      <c r="N243" t="s">
        <v>54</v>
      </c>
      <c r="Q243">
        <v>4</v>
      </c>
      <c r="W243" t="s">
        <v>541</v>
      </c>
      <c r="X243" t="s">
        <v>40</v>
      </c>
      <c r="Y243" t="s">
        <v>40</v>
      </c>
      <c r="AA243">
        <f t="shared" si="16"/>
        <v>33.1</v>
      </c>
      <c r="AB243">
        <v>104</v>
      </c>
      <c r="AC243">
        <f t="shared" si="17"/>
        <v>0.84948665353068009</v>
      </c>
      <c r="AI243" t="e">
        <f>IF(Y243="Yes",NA(),#REF!)</f>
        <v>#N/A</v>
      </c>
      <c r="AJ243" t="e">
        <f>IF(Y243="Yes",NA(),#REF!)</f>
        <v>#N/A</v>
      </c>
      <c r="AK243" t="e">
        <f>IF(Y243="Yes",NA(),#REF!)</f>
        <v>#N/A</v>
      </c>
    </row>
    <row r="244" spans="1:37" x14ac:dyDescent="0.35">
      <c r="A244" s="12">
        <v>243</v>
      </c>
      <c r="C244">
        <v>27</v>
      </c>
      <c r="E244" s="2">
        <v>6</v>
      </c>
      <c r="F244" s="2" t="s">
        <v>33</v>
      </c>
      <c r="G244" t="s">
        <v>66</v>
      </c>
      <c r="H244" t="s">
        <v>67</v>
      </c>
      <c r="I244" t="s">
        <v>542</v>
      </c>
      <c r="J244" s="14">
        <f t="shared" si="14"/>
        <v>107.89999999999999</v>
      </c>
      <c r="K244">
        <v>1300</v>
      </c>
      <c r="N244" t="s">
        <v>54</v>
      </c>
      <c r="Q244" t="s">
        <v>55</v>
      </c>
      <c r="W244" t="s">
        <v>543</v>
      </c>
      <c r="X244" t="s">
        <v>40</v>
      </c>
      <c r="Y244" t="s">
        <v>40</v>
      </c>
      <c r="AA244">
        <f t="shared" si="16"/>
        <v>10.79</v>
      </c>
      <c r="AB244" s="26">
        <v>33.9</v>
      </c>
      <c r="AC244">
        <f t="shared" si="17"/>
        <v>9.0258742335798142E-2</v>
      </c>
      <c r="AI244" t="e">
        <f>IF(Y244="Yes",NA(),#REF!)</f>
        <v>#N/A</v>
      </c>
      <c r="AJ244" t="e">
        <f>IF(Y244="Yes",NA(),#REF!)</f>
        <v>#N/A</v>
      </c>
      <c r="AK244" t="e">
        <f>IF(Y244="Yes",NA(),#REF!)</f>
        <v>#N/A</v>
      </c>
    </row>
    <row r="245" spans="1:37" x14ac:dyDescent="0.35">
      <c r="A245" s="12">
        <v>244</v>
      </c>
      <c r="C245">
        <v>27</v>
      </c>
      <c r="E245" s="2" t="s">
        <v>281</v>
      </c>
      <c r="F245" s="2" t="s">
        <v>544</v>
      </c>
      <c r="G245" t="s">
        <v>63</v>
      </c>
      <c r="H245" t="s">
        <v>64</v>
      </c>
      <c r="J245" s="14">
        <f t="shared" si="14"/>
        <v>100.3</v>
      </c>
      <c r="K245">
        <v>1300</v>
      </c>
      <c r="N245" t="s">
        <v>545</v>
      </c>
      <c r="Q245" t="s">
        <v>55</v>
      </c>
      <c r="W245" t="s">
        <v>546</v>
      </c>
      <c r="Z245" t="s">
        <v>547</v>
      </c>
      <c r="AA245">
        <f t="shared" si="16"/>
        <v>10.029999999999999</v>
      </c>
      <c r="AB245" s="26">
        <v>31.5</v>
      </c>
      <c r="AC245">
        <f t="shared" si="17"/>
        <v>7.793113276311181E-2</v>
      </c>
      <c r="AI245" t="e">
        <f>IF(Y245="Yes",NA(),#REF!)</f>
        <v>#REF!</v>
      </c>
      <c r="AJ245" t="e">
        <f>IF(Y245="Yes",NA(),#REF!)</f>
        <v>#REF!</v>
      </c>
      <c r="AK245" t="e">
        <f>IF(Y245="Yes",NA(),#REF!)</f>
        <v>#REF!</v>
      </c>
    </row>
    <row r="246" spans="1:37" x14ac:dyDescent="0.35">
      <c r="A246" s="12">
        <v>245</v>
      </c>
      <c r="C246">
        <v>27</v>
      </c>
      <c r="E246" s="2" t="s">
        <v>548</v>
      </c>
      <c r="F246" s="2" t="s">
        <v>549</v>
      </c>
      <c r="G246" t="s">
        <v>66</v>
      </c>
      <c r="H246" t="s">
        <v>550</v>
      </c>
      <c r="J246" s="14">
        <f t="shared" si="14"/>
        <v>310.39999999999998</v>
      </c>
      <c r="K246">
        <v>1300</v>
      </c>
      <c r="N246" t="s">
        <v>297</v>
      </c>
      <c r="Q246">
        <v>5</v>
      </c>
      <c r="W246" t="s">
        <v>551</v>
      </c>
      <c r="X246" t="s">
        <v>40</v>
      </c>
      <c r="Y246" t="s">
        <v>40</v>
      </c>
      <c r="AA246">
        <f t="shared" si="16"/>
        <v>31.04</v>
      </c>
      <c r="AB246">
        <v>97.5</v>
      </c>
      <c r="AC246">
        <f t="shared" si="17"/>
        <v>0.7466191290796993</v>
      </c>
      <c r="AI246" t="e">
        <f>IF(Y246="Yes",NA(),#REF!)</f>
        <v>#N/A</v>
      </c>
      <c r="AJ246" t="e">
        <f>IF(Y246="Yes",NA(),#REF!)</f>
        <v>#N/A</v>
      </c>
      <c r="AK246" t="e">
        <f>IF(Y246="Yes",NA(),#REF!)</f>
        <v>#N/A</v>
      </c>
    </row>
    <row r="247" spans="1:37" x14ac:dyDescent="0.35">
      <c r="A247" s="12">
        <v>246</v>
      </c>
      <c r="C247">
        <v>27</v>
      </c>
      <c r="E247" s="2" t="s">
        <v>58</v>
      </c>
      <c r="F247" s="2">
        <v>2</v>
      </c>
      <c r="G247" t="s">
        <v>42</v>
      </c>
      <c r="H247" t="s">
        <v>320</v>
      </c>
      <c r="J247" s="14">
        <f t="shared" si="14"/>
        <v>114.60000000000001</v>
      </c>
      <c r="K247">
        <v>1300</v>
      </c>
      <c r="N247" t="s">
        <v>54</v>
      </c>
      <c r="Q247" t="s">
        <v>259</v>
      </c>
      <c r="U247">
        <v>3</v>
      </c>
      <c r="W247" t="s">
        <v>552</v>
      </c>
      <c r="X247" t="s">
        <v>40</v>
      </c>
      <c r="Y247" t="s">
        <v>40</v>
      </c>
      <c r="AA247">
        <f t="shared" si="16"/>
        <v>11.46</v>
      </c>
      <c r="AB247">
        <v>36</v>
      </c>
      <c r="AC247">
        <f t="shared" si="17"/>
        <v>0.10178760197630929</v>
      </c>
      <c r="AI247" t="e">
        <f>IF(Y247="Yes",NA(),#REF!)</f>
        <v>#N/A</v>
      </c>
      <c r="AJ247" t="e">
        <f>IF(Y247="Yes",NA(),#REF!)</f>
        <v>#N/A</v>
      </c>
      <c r="AK247" t="e">
        <f>IF(Y247="Yes",NA(),#REF!)</f>
        <v>#N/A</v>
      </c>
    </row>
    <row r="248" spans="1:37" x14ac:dyDescent="0.35">
      <c r="A248" s="12">
        <v>247</v>
      </c>
      <c r="C248">
        <v>27</v>
      </c>
      <c r="E248" s="2" t="s">
        <v>51</v>
      </c>
      <c r="F248" s="2" t="s">
        <v>553</v>
      </c>
      <c r="G248" t="s">
        <v>145</v>
      </c>
      <c r="H248" t="s">
        <v>310</v>
      </c>
      <c r="J248" s="14">
        <f t="shared" ref="J248:J311" si="18">ROUND(AB248/PI(), 2)*10</f>
        <v>109.80000000000001</v>
      </c>
      <c r="K248">
        <v>1300</v>
      </c>
      <c r="N248" t="s">
        <v>54</v>
      </c>
      <c r="Q248" t="s">
        <v>259</v>
      </c>
      <c r="U248">
        <v>3</v>
      </c>
      <c r="W248" t="s">
        <v>554</v>
      </c>
      <c r="X248" t="s">
        <v>40</v>
      </c>
      <c r="Y248" t="s">
        <v>40</v>
      </c>
      <c r="Z248" t="s">
        <v>555</v>
      </c>
      <c r="AA248">
        <f t="shared" si="16"/>
        <v>10.98</v>
      </c>
      <c r="AB248">
        <v>34.5</v>
      </c>
      <c r="AC248">
        <f t="shared" si="17"/>
        <v>9.3482016398381274E-2</v>
      </c>
      <c r="AI248" t="e">
        <f>IF(Y248="Yes",NA(),#REF!)</f>
        <v>#N/A</v>
      </c>
      <c r="AJ248" t="e">
        <f>IF(Y248="Yes",NA(),#REF!)</f>
        <v>#N/A</v>
      </c>
      <c r="AK248" t="e">
        <f>IF(Y248="Yes",NA(),#REF!)</f>
        <v>#N/A</v>
      </c>
    </row>
    <row r="249" spans="1:37" x14ac:dyDescent="0.35">
      <c r="A249" s="12">
        <v>248</v>
      </c>
      <c r="C249">
        <v>27</v>
      </c>
      <c r="E249" s="2">
        <v>8</v>
      </c>
      <c r="F249" s="2" t="s">
        <v>58</v>
      </c>
      <c r="G249" t="s">
        <v>66</v>
      </c>
      <c r="H249" t="s">
        <v>35</v>
      </c>
      <c r="J249" s="14">
        <f t="shared" si="18"/>
        <v>620.70000000000005</v>
      </c>
      <c r="K249">
        <v>1300</v>
      </c>
      <c r="N249" t="s">
        <v>556</v>
      </c>
      <c r="Q249">
        <v>4</v>
      </c>
      <c r="W249" t="s">
        <v>557</v>
      </c>
      <c r="X249" t="s">
        <v>40</v>
      </c>
      <c r="Y249" t="s">
        <v>40</v>
      </c>
      <c r="AA249">
        <f t="shared" si="16"/>
        <v>62.07</v>
      </c>
      <c r="AB249">
        <v>195</v>
      </c>
      <c r="AC249">
        <f t="shared" si="17"/>
        <v>2.9864765163187972</v>
      </c>
      <c r="AI249" t="e">
        <f>IF(Y249="Yes",NA(),#REF!)</f>
        <v>#N/A</v>
      </c>
      <c r="AJ249" t="e">
        <f>IF(Y249="Yes",NA(),#REF!)</f>
        <v>#N/A</v>
      </c>
      <c r="AK249" t="e">
        <f>IF(Y249="Yes",NA(),#REF!)</f>
        <v>#N/A</v>
      </c>
    </row>
    <row r="250" spans="1:37" x14ac:dyDescent="0.35">
      <c r="A250" s="12">
        <v>249</v>
      </c>
      <c r="C250">
        <v>27</v>
      </c>
      <c r="E250" s="2" t="s">
        <v>558</v>
      </c>
      <c r="F250" s="2" t="s">
        <v>58</v>
      </c>
      <c r="G250" t="s">
        <v>360</v>
      </c>
      <c r="H250" t="s">
        <v>361</v>
      </c>
      <c r="J250" s="14">
        <f t="shared" si="18"/>
        <v>141.6</v>
      </c>
      <c r="K250">
        <v>1300</v>
      </c>
      <c r="N250" t="s">
        <v>54</v>
      </c>
      <c r="Q250" t="s">
        <v>38</v>
      </c>
      <c r="W250" t="s">
        <v>559</v>
      </c>
      <c r="X250" t="s">
        <v>40</v>
      </c>
      <c r="Y250" t="s">
        <v>40</v>
      </c>
      <c r="AA250">
        <f t="shared" si="16"/>
        <v>14.16</v>
      </c>
      <c r="AB250">
        <v>44.5</v>
      </c>
      <c r="AC250">
        <f t="shared" si="17"/>
        <v>0.15552847130677971</v>
      </c>
      <c r="AI250" t="e">
        <f>IF(Y250="Yes",NA(),#REF!)</f>
        <v>#N/A</v>
      </c>
      <c r="AJ250" t="e">
        <f>IF(Y250="Yes",NA(),#REF!)</f>
        <v>#N/A</v>
      </c>
      <c r="AK250" t="e">
        <f>IF(Y250="Yes",NA(),#REF!)</f>
        <v>#N/A</v>
      </c>
    </row>
    <row r="251" spans="1:37" x14ac:dyDescent="0.35">
      <c r="A251" s="12">
        <v>250</v>
      </c>
      <c r="C251">
        <v>27</v>
      </c>
      <c r="E251" s="2" t="s">
        <v>52</v>
      </c>
      <c r="F251" s="2" t="s">
        <v>58</v>
      </c>
      <c r="G251" t="s">
        <v>63</v>
      </c>
      <c r="H251" t="s">
        <v>64</v>
      </c>
      <c r="J251" s="14">
        <f t="shared" si="18"/>
        <v>140.1</v>
      </c>
      <c r="K251">
        <v>1300</v>
      </c>
      <c r="N251" t="s">
        <v>54</v>
      </c>
      <c r="Q251">
        <v>4</v>
      </c>
      <c r="W251" t="s">
        <v>560</v>
      </c>
      <c r="AA251">
        <f t="shared" si="16"/>
        <v>14.01</v>
      </c>
      <c r="AB251" s="26">
        <v>44</v>
      </c>
      <c r="AC251">
        <f t="shared" si="17"/>
        <v>0.15205308443374596</v>
      </c>
      <c r="AI251" t="e">
        <f>IF(Y251="Yes",NA(),#REF!)</f>
        <v>#REF!</v>
      </c>
      <c r="AJ251" t="e">
        <f>IF(Y251="Yes",NA(),#REF!)</f>
        <v>#REF!</v>
      </c>
      <c r="AK251" t="e">
        <f>IF(Y251="Yes",NA(),#REF!)</f>
        <v>#REF!</v>
      </c>
    </row>
    <row r="252" spans="1:37" x14ac:dyDescent="0.35">
      <c r="A252" s="12">
        <v>251</v>
      </c>
      <c r="C252">
        <v>27</v>
      </c>
      <c r="E252" s="2" t="s">
        <v>281</v>
      </c>
      <c r="F252" s="2">
        <v>5</v>
      </c>
      <c r="G252" t="s">
        <v>114</v>
      </c>
      <c r="H252" t="s">
        <v>35</v>
      </c>
      <c r="J252" s="14">
        <f t="shared" si="18"/>
        <v>171.29999999999998</v>
      </c>
      <c r="K252">
        <v>1300</v>
      </c>
      <c r="N252" t="s">
        <v>54</v>
      </c>
      <c r="Q252">
        <v>4</v>
      </c>
      <c r="W252" t="s">
        <v>561</v>
      </c>
      <c r="X252" t="s">
        <v>40</v>
      </c>
      <c r="Y252" t="s">
        <v>40</v>
      </c>
      <c r="AA252">
        <f t="shared" si="16"/>
        <v>17.13</v>
      </c>
      <c r="AB252">
        <v>53.8</v>
      </c>
      <c r="AC252">
        <f t="shared" ref="AC252:AC277" si="19">PI()*(AB252/2)*(AB252/2)/10000</f>
        <v>0.22732878600641096</v>
      </c>
      <c r="AI252" t="e">
        <f>IF(Y252="Yes",NA(),#REF!)</f>
        <v>#N/A</v>
      </c>
      <c r="AJ252" t="e">
        <f>IF(Y252="Yes",NA(),#REF!)</f>
        <v>#N/A</v>
      </c>
      <c r="AK252" t="e">
        <f>IF(Y252="Yes",NA(),#REF!)</f>
        <v>#N/A</v>
      </c>
    </row>
    <row r="253" spans="1:37" x14ac:dyDescent="0.35">
      <c r="A253" s="12">
        <v>252</v>
      </c>
      <c r="C253">
        <v>27</v>
      </c>
      <c r="E253" s="2">
        <v>4</v>
      </c>
      <c r="F253" s="2" t="s">
        <v>51</v>
      </c>
      <c r="G253" t="s">
        <v>213</v>
      </c>
      <c r="H253" t="s">
        <v>214</v>
      </c>
      <c r="J253" s="14">
        <f t="shared" si="18"/>
        <v>270.59999999999997</v>
      </c>
      <c r="K253">
        <v>1300</v>
      </c>
      <c r="N253" t="s">
        <v>54</v>
      </c>
      <c r="Q253">
        <v>4</v>
      </c>
      <c r="W253" t="s">
        <v>562</v>
      </c>
      <c r="X253" t="s">
        <v>40</v>
      </c>
      <c r="Y253" t="s">
        <v>40</v>
      </c>
      <c r="AA253">
        <f t="shared" si="16"/>
        <v>27.06</v>
      </c>
      <c r="AB253">
        <v>85</v>
      </c>
      <c r="AC253">
        <f t="shared" si="19"/>
        <v>0.56745017305465639</v>
      </c>
      <c r="AI253" t="e">
        <f>IF(Y253="Yes",NA(),#REF!)</f>
        <v>#N/A</v>
      </c>
      <c r="AJ253" t="e">
        <f>IF(Y253="Yes",NA(),#REF!)</f>
        <v>#N/A</v>
      </c>
      <c r="AK253" t="e">
        <f>IF(Y253="Yes",NA(),#REF!)</f>
        <v>#N/A</v>
      </c>
    </row>
    <row r="254" spans="1:37" x14ac:dyDescent="0.35">
      <c r="A254" s="12">
        <v>253</v>
      </c>
      <c r="C254">
        <v>28</v>
      </c>
      <c r="E254" s="2" t="s">
        <v>33</v>
      </c>
      <c r="F254" s="2">
        <v>4</v>
      </c>
      <c r="G254" t="s">
        <v>145</v>
      </c>
      <c r="H254" t="s">
        <v>310</v>
      </c>
      <c r="J254" s="14">
        <f t="shared" si="18"/>
        <v>127.30000000000001</v>
      </c>
      <c r="K254">
        <v>1300</v>
      </c>
      <c r="N254" t="s">
        <v>54</v>
      </c>
      <c r="Q254" t="s">
        <v>55</v>
      </c>
      <c r="U254">
        <v>3</v>
      </c>
      <c r="W254" t="s">
        <v>563</v>
      </c>
      <c r="X254" t="s">
        <v>240</v>
      </c>
      <c r="Y254" t="s">
        <v>240</v>
      </c>
      <c r="AA254">
        <f t="shared" si="16"/>
        <v>12.73</v>
      </c>
      <c r="AB254">
        <v>40</v>
      </c>
      <c r="AC254">
        <f t="shared" si="19"/>
        <v>0.12566370614359174</v>
      </c>
      <c r="AI254" t="e">
        <f>IF(Y254="Yes",NA(),#REF!)</f>
        <v>#REF!</v>
      </c>
      <c r="AJ254" t="e">
        <f>IF(Y254="Yes",NA(),#REF!)</f>
        <v>#REF!</v>
      </c>
      <c r="AK254" t="e">
        <f>IF(Y254="Yes",NA(),#REF!)</f>
        <v>#REF!</v>
      </c>
    </row>
    <row r="255" spans="1:37" x14ac:dyDescent="0.35">
      <c r="A255" s="12">
        <v>254</v>
      </c>
      <c r="C255">
        <v>28</v>
      </c>
      <c r="E255" s="2" t="s">
        <v>564</v>
      </c>
      <c r="F255" s="2">
        <v>4</v>
      </c>
      <c r="G255" t="s">
        <v>47</v>
      </c>
      <c r="H255" t="s">
        <v>503</v>
      </c>
      <c r="I255" t="s">
        <v>515</v>
      </c>
      <c r="J255" s="14">
        <f t="shared" si="18"/>
        <v>187.8</v>
      </c>
      <c r="K255">
        <v>1300</v>
      </c>
      <c r="N255" t="s">
        <v>54</v>
      </c>
      <c r="Q255" t="s">
        <v>38</v>
      </c>
      <c r="U255">
        <v>3</v>
      </c>
      <c r="W255" t="s">
        <v>565</v>
      </c>
      <c r="X255" t="s">
        <v>40</v>
      </c>
      <c r="Y255" t="s">
        <v>40</v>
      </c>
      <c r="Z255" t="s">
        <v>566</v>
      </c>
      <c r="AA255">
        <f t="shared" si="16"/>
        <v>18.78</v>
      </c>
      <c r="AB255">
        <v>59</v>
      </c>
      <c r="AC255">
        <f t="shared" si="19"/>
        <v>0.27339710067865175</v>
      </c>
      <c r="AI255" t="e">
        <f>IF(Y255="Yes",NA(),#REF!)</f>
        <v>#N/A</v>
      </c>
      <c r="AJ255" t="e">
        <f>IF(Y255="Yes",NA(),#REF!)</f>
        <v>#N/A</v>
      </c>
      <c r="AK255" t="e">
        <f>IF(Y255="Yes",NA(),#REF!)</f>
        <v>#N/A</v>
      </c>
    </row>
    <row r="256" spans="1:37" x14ac:dyDescent="0.35">
      <c r="A256" s="12">
        <v>255</v>
      </c>
      <c r="C256">
        <v>28</v>
      </c>
      <c r="E256" s="2">
        <v>3</v>
      </c>
      <c r="F256" s="2" t="s">
        <v>33</v>
      </c>
      <c r="G256" t="s">
        <v>114</v>
      </c>
      <c r="H256" t="s">
        <v>35</v>
      </c>
      <c r="J256" s="14">
        <f t="shared" si="18"/>
        <v>221.20000000000002</v>
      </c>
      <c r="K256">
        <v>1300</v>
      </c>
      <c r="N256" t="s">
        <v>54</v>
      </c>
      <c r="Q256" t="s">
        <v>38</v>
      </c>
      <c r="W256" t="s">
        <v>567</v>
      </c>
      <c r="X256" t="s">
        <v>40</v>
      </c>
      <c r="Y256" t="s">
        <v>40</v>
      </c>
      <c r="AA256">
        <f t="shared" si="16"/>
        <v>22.12</v>
      </c>
      <c r="AB256">
        <v>69.5</v>
      </c>
      <c r="AC256">
        <f t="shared" si="19"/>
        <v>0.37936694787505243</v>
      </c>
      <c r="AI256" t="e">
        <f>IF(Y256="Yes",NA(),#REF!)</f>
        <v>#N/A</v>
      </c>
      <c r="AJ256" t="e">
        <f>IF(Y256="Yes",NA(),#REF!)</f>
        <v>#N/A</v>
      </c>
      <c r="AK256" t="e">
        <f>IF(Y256="Yes",NA(),#REF!)</f>
        <v>#N/A</v>
      </c>
    </row>
    <row r="257" spans="1:37" x14ac:dyDescent="0.35">
      <c r="A257" s="12">
        <v>256</v>
      </c>
      <c r="C257">
        <v>28</v>
      </c>
      <c r="E257" s="2" t="s">
        <v>75</v>
      </c>
      <c r="F257" s="2" t="s">
        <v>111</v>
      </c>
      <c r="G257" t="s">
        <v>63</v>
      </c>
      <c r="H257" t="s">
        <v>64</v>
      </c>
      <c r="J257" s="14">
        <f t="shared" si="18"/>
        <v>121</v>
      </c>
      <c r="K257">
        <v>1300</v>
      </c>
      <c r="N257" t="s">
        <v>54</v>
      </c>
      <c r="Q257" t="s">
        <v>38</v>
      </c>
      <c r="W257" t="s">
        <v>568</v>
      </c>
      <c r="AA257">
        <f t="shared" si="16"/>
        <v>12.1</v>
      </c>
      <c r="AB257" s="26">
        <v>38</v>
      </c>
      <c r="AC257">
        <f t="shared" si="19"/>
        <v>0.11341149479459152</v>
      </c>
      <c r="AI257" t="e">
        <f>IF(Y257="Yes",NA(),#REF!)</f>
        <v>#REF!</v>
      </c>
      <c r="AJ257" t="e">
        <f>IF(Y257="Yes",NA(),#REF!)</f>
        <v>#REF!</v>
      </c>
      <c r="AK257" t="e">
        <f>IF(Y257="Yes",NA(),#REF!)</f>
        <v>#REF!</v>
      </c>
    </row>
    <row r="258" spans="1:37" x14ac:dyDescent="0.35">
      <c r="A258" s="12">
        <v>257</v>
      </c>
      <c r="C258">
        <v>28</v>
      </c>
      <c r="E258" s="2" t="s">
        <v>75</v>
      </c>
      <c r="F258" s="2" t="s">
        <v>121</v>
      </c>
      <c r="G258" t="s">
        <v>59</v>
      </c>
      <c r="H258" t="s">
        <v>569</v>
      </c>
      <c r="J258" s="14">
        <f t="shared" si="18"/>
        <v>108.2</v>
      </c>
      <c r="K258">
        <v>1300</v>
      </c>
      <c r="N258" t="s">
        <v>54</v>
      </c>
      <c r="Q258">
        <v>4</v>
      </c>
      <c r="W258" t="s">
        <v>570</v>
      </c>
      <c r="X258" t="s">
        <v>40</v>
      </c>
      <c r="Y258" t="s">
        <v>40</v>
      </c>
      <c r="AA258">
        <f t="shared" si="16"/>
        <v>10.82</v>
      </c>
      <c r="AB258">
        <v>34</v>
      </c>
      <c r="AC258">
        <f t="shared" si="19"/>
        <v>9.0792027688745031E-2</v>
      </c>
      <c r="AI258" t="e">
        <f>IF(Y258="Yes",NA(),#REF!)</f>
        <v>#N/A</v>
      </c>
      <c r="AJ258" t="e">
        <f>IF(Y258="Yes",NA(),#REF!)</f>
        <v>#N/A</v>
      </c>
      <c r="AK258" t="e">
        <f>IF(Y258="Yes",NA(),#REF!)</f>
        <v>#N/A</v>
      </c>
    </row>
    <row r="259" spans="1:37" x14ac:dyDescent="0.35">
      <c r="A259" s="12">
        <v>258</v>
      </c>
      <c r="C259">
        <v>28</v>
      </c>
      <c r="E259" s="2" t="s">
        <v>58</v>
      </c>
      <c r="F259" s="2" t="s">
        <v>538</v>
      </c>
      <c r="G259" t="s">
        <v>63</v>
      </c>
      <c r="H259" t="s">
        <v>64</v>
      </c>
      <c r="J259" s="14">
        <f t="shared" si="18"/>
        <v>121</v>
      </c>
      <c r="K259">
        <v>1300</v>
      </c>
      <c r="N259" t="s">
        <v>54</v>
      </c>
      <c r="Q259">
        <v>4</v>
      </c>
      <c r="W259" t="s">
        <v>571</v>
      </c>
      <c r="AA259">
        <f t="shared" ref="AA259:AA322" si="20">ROUND(AB259/PI(), 2)</f>
        <v>12.1</v>
      </c>
      <c r="AB259" s="26">
        <v>38</v>
      </c>
      <c r="AC259">
        <f t="shared" si="19"/>
        <v>0.11341149479459152</v>
      </c>
      <c r="AI259" t="e">
        <f>IF(Y259="Yes",NA(),#REF!)</f>
        <v>#REF!</v>
      </c>
      <c r="AJ259" t="e">
        <f>IF(Y259="Yes",NA(),#REF!)</f>
        <v>#REF!</v>
      </c>
      <c r="AK259" t="e">
        <f>IF(Y259="Yes",NA(),#REF!)</f>
        <v>#REF!</v>
      </c>
    </row>
    <row r="260" spans="1:37" x14ac:dyDescent="0.35">
      <c r="A260" s="12">
        <v>259</v>
      </c>
      <c r="C260">
        <v>28</v>
      </c>
      <c r="E260" s="2">
        <v>8</v>
      </c>
      <c r="F260" s="2">
        <v>6</v>
      </c>
      <c r="G260" t="s">
        <v>114</v>
      </c>
      <c r="H260" t="s">
        <v>35</v>
      </c>
      <c r="J260" s="14">
        <f t="shared" si="18"/>
        <v>141.6</v>
      </c>
      <c r="K260">
        <v>1300</v>
      </c>
      <c r="N260" t="s">
        <v>54</v>
      </c>
      <c r="Q260" t="s">
        <v>38</v>
      </c>
      <c r="W260" t="s">
        <v>572</v>
      </c>
      <c r="X260" t="s">
        <v>40</v>
      </c>
      <c r="Y260" t="s">
        <v>40</v>
      </c>
      <c r="AA260">
        <f t="shared" si="20"/>
        <v>14.16</v>
      </c>
      <c r="AB260">
        <v>44.5</v>
      </c>
      <c r="AC260">
        <f t="shared" si="19"/>
        <v>0.15552847130677971</v>
      </c>
      <c r="AI260" t="e">
        <f>IF(Y260="Yes",NA(),#REF!)</f>
        <v>#N/A</v>
      </c>
      <c r="AJ260" t="e">
        <f>IF(Y260="Yes",NA(),#REF!)</f>
        <v>#N/A</v>
      </c>
      <c r="AK260" t="e">
        <f>IF(Y260="Yes",NA(),#REF!)</f>
        <v>#N/A</v>
      </c>
    </row>
    <row r="261" spans="1:37" x14ac:dyDescent="0.35">
      <c r="A261" s="12">
        <v>260</v>
      </c>
      <c r="C261">
        <v>28</v>
      </c>
      <c r="E261" s="2">
        <v>8</v>
      </c>
      <c r="F261" s="2">
        <v>9</v>
      </c>
      <c r="G261" t="s">
        <v>66</v>
      </c>
      <c r="H261" t="s">
        <v>573</v>
      </c>
      <c r="I261" t="s">
        <v>515</v>
      </c>
      <c r="J261" s="14">
        <f t="shared" si="18"/>
        <v>210.10000000000002</v>
      </c>
      <c r="K261">
        <v>1300</v>
      </c>
      <c r="N261" t="s">
        <v>54</v>
      </c>
      <c r="Q261">
        <v>5</v>
      </c>
      <c r="U261">
        <v>3</v>
      </c>
      <c r="W261" t="s">
        <v>574</v>
      </c>
      <c r="X261" t="s">
        <v>40</v>
      </c>
      <c r="Y261" t="s">
        <v>40</v>
      </c>
      <c r="AA261">
        <f t="shared" si="20"/>
        <v>21.01</v>
      </c>
      <c r="AB261">
        <v>66</v>
      </c>
      <c r="AC261">
        <f t="shared" si="19"/>
        <v>0.34211943997592847</v>
      </c>
      <c r="AI261" t="e">
        <f>IF(Y261="Yes",NA(),#REF!)</f>
        <v>#N/A</v>
      </c>
      <c r="AJ261" t="e">
        <f>IF(Y261="Yes",NA(),#REF!)</f>
        <v>#N/A</v>
      </c>
      <c r="AK261" t="e">
        <f>IF(Y261="Yes",NA(),#REF!)</f>
        <v>#N/A</v>
      </c>
    </row>
    <row r="262" spans="1:37" x14ac:dyDescent="0.35">
      <c r="A262" s="12">
        <v>261</v>
      </c>
      <c r="C262">
        <v>28</v>
      </c>
      <c r="E262" s="2">
        <v>5</v>
      </c>
      <c r="F262" s="2">
        <v>10</v>
      </c>
      <c r="G262" t="s">
        <v>42</v>
      </c>
      <c r="H262" t="s">
        <v>116</v>
      </c>
      <c r="J262" s="14">
        <f t="shared" si="18"/>
        <v>315.10000000000002</v>
      </c>
      <c r="K262">
        <v>1300</v>
      </c>
      <c r="N262" t="s">
        <v>297</v>
      </c>
      <c r="Q262">
        <v>4</v>
      </c>
      <c r="U262">
        <v>4</v>
      </c>
      <c r="W262" t="s">
        <v>575</v>
      </c>
      <c r="X262" t="s">
        <v>40</v>
      </c>
      <c r="Y262" t="s">
        <v>40</v>
      </c>
      <c r="Z262" t="s">
        <v>576</v>
      </c>
      <c r="AA262">
        <f t="shared" si="20"/>
        <v>31.51</v>
      </c>
      <c r="AB262">
        <v>99</v>
      </c>
      <c r="AC262">
        <f t="shared" si="19"/>
        <v>0.76976873994583916</v>
      </c>
      <c r="AI262" t="e">
        <f>IF(Y262="Yes",NA(),#REF!)</f>
        <v>#N/A</v>
      </c>
      <c r="AJ262" t="e">
        <f>IF(Y262="Yes",NA(),#REF!)</f>
        <v>#N/A</v>
      </c>
      <c r="AK262" t="e">
        <f>IF(Y262="Yes",NA(),#REF!)</f>
        <v>#N/A</v>
      </c>
    </row>
    <row r="263" spans="1:37" x14ac:dyDescent="0.35">
      <c r="A263" s="12">
        <v>262</v>
      </c>
      <c r="C263">
        <v>28</v>
      </c>
      <c r="E263" s="2">
        <v>0</v>
      </c>
      <c r="F263" s="2">
        <v>8</v>
      </c>
      <c r="G263" t="s">
        <v>42</v>
      </c>
      <c r="H263" t="s">
        <v>577</v>
      </c>
      <c r="J263" s="14">
        <f t="shared" si="18"/>
        <v>146.4</v>
      </c>
      <c r="K263">
        <v>1300</v>
      </c>
      <c r="N263" t="s">
        <v>61</v>
      </c>
      <c r="Q263">
        <v>1</v>
      </c>
      <c r="W263" t="s">
        <v>578</v>
      </c>
      <c r="X263" t="s">
        <v>40</v>
      </c>
      <c r="Y263" t="s">
        <v>40</v>
      </c>
      <c r="AA263">
        <f t="shared" si="20"/>
        <v>14.64</v>
      </c>
      <c r="AB263">
        <v>46</v>
      </c>
      <c r="AC263">
        <f t="shared" si="19"/>
        <v>0.16619025137490004</v>
      </c>
      <c r="AI263" t="e">
        <f>IF(Y263="Yes",NA(),#REF!)</f>
        <v>#N/A</v>
      </c>
      <c r="AJ263" t="e">
        <f>IF(Y263="Yes",NA(),#REF!)</f>
        <v>#N/A</v>
      </c>
      <c r="AK263" t="e">
        <f>IF(Y263="Yes",NA(),#REF!)</f>
        <v>#N/A</v>
      </c>
    </row>
    <row r="264" spans="1:37" x14ac:dyDescent="0.35">
      <c r="A264" s="12">
        <v>263</v>
      </c>
      <c r="C264">
        <v>29</v>
      </c>
      <c r="E264" s="2" t="s">
        <v>92</v>
      </c>
      <c r="F264" s="2" t="s">
        <v>92</v>
      </c>
      <c r="G264" t="s">
        <v>34</v>
      </c>
      <c r="H264" t="s">
        <v>35</v>
      </c>
      <c r="J264" s="14">
        <f t="shared" si="18"/>
        <v>194.20000000000002</v>
      </c>
      <c r="K264">
        <v>1300</v>
      </c>
      <c r="N264" t="s">
        <v>37</v>
      </c>
      <c r="Q264">
        <v>4</v>
      </c>
      <c r="W264" t="s">
        <v>579</v>
      </c>
      <c r="X264" t="s">
        <v>40</v>
      </c>
      <c r="Y264" t="s">
        <v>40</v>
      </c>
      <c r="AA264">
        <f t="shared" si="20"/>
        <v>19.420000000000002</v>
      </c>
      <c r="AB264">
        <v>61</v>
      </c>
      <c r="AC264">
        <f t="shared" si="19"/>
        <v>0.2922466566001905</v>
      </c>
      <c r="AI264" t="e">
        <f>IF(Y264="Yes",NA(),#REF!)</f>
        <v>#N/A</v>
      </c>
      <c r="AJ264" t="e">
        <f>IF(Y264="Yes",NA(),#REF!)</f>
        <v>#N/A</v>
      </c>
      <c r="AK264" t="e">
        <f>IF(Y264="Yes",NA(),#REF!)</f>
        <v>#N/A</v>
      </c>
    </row>
    <row r="265" spans="1:37" x14ac:dyDescent="0.35">
      <c r="A265" s="12">
        <v>264</v>
      </c>
      <c r="C265">
        <v>29</v>
      </c>
      <c r="E265" s="2" t="s">
        <v>174</v>
      </c>
      <c r="F265" s="2">
        <v>4</v>
      </c>
      <c r="G265" t="s">
        <v>47</v>
      </c>
      <c r="H265" t="s">
        <v>580</v>
      </c>
      <c r="I265" t="s">
        <v>515</v>
      </c>
      <c r="J265" s="14">
        <f t="shared" si="18"/>
        <v>163</v>
      </c>
      <c r="K265">
        <v>1300</v>
      </c>
      <c r="N265" t="s">
        <v>54</v>
      </c>
      <c r="Q265">
        <v>4</v>
      </c>
      <c r="U265">
        <v>5</v>
      </c>
      <c r="W265" t="s">
        <v>581</v>
      </c>
      <c r="X265" t="s">
        <v>40</v>
      </c>
      <c r="Y265" t="s">
        <v>40</v>
      </c>
      <c r="AA265">
        <f t="shared" si="20"/>
        <v>16.3</v>
      </c>
      <c r="AB265">
        <v>51.2</v>
      </c>
      <c r="AC265">
        <f t="shared" si="19"/>
        <v>0.2058874161456607</v>
      </c>
      <c r="AI265" t="e">
        <f>IF(Y265="Yes",NA(),#REF!)</f>
        <v>#N/A</v>
      </c>
      <c r="AJ265" t="e">
        <f>IF(Y265="Yes",NA(),#REF!)</f>
        <v>#N/A</v>
      </c>
      <c r="AK265" t="e">
        <f>IF(Y265="Yes",NA(),#REF!)</f>
        <v>#N/A</v>
      </c>
    </row>
    <row r="266" spans="1:37" x14ac:dyDescent="0.35">
      <c r="A266" s="12">
        <v>265</v>
      </c>
      <c r="C266">
        <v>29</v>
      </c>
      <c r="E266" s="2">
        <v>7</v>
      </c>
      <c r="F266" s="2">
        <v>4</v>
      </c>
      <c r="G266" t="s">
        <v>104</v>
      </c>
      <c r="H266" t="s">
        <v>582</v>
      </c>
      <c r="J266" s="14">
        <f t="shared" si="18"/>
        <v>379.4</v>
      </c>
      <c r="K266">
        <v>1300</v>
      </c>
      <c r="N266" t="s">
        <v>54</v>
      </c>
      <c r="Q266">
        <v>5</v>
      </c>
      <c r="U266">
        <v>4</v>
      </c>
      <c r="W266" t="s">
        <v>583</v>
      </c>
      <c r="X266" t="s">
        <v>40</v>
      </c>
      <c r="Y266" t="s">
        <v>40</v>
      </c>
      <c r="AA266">
        <f t="shared" si="20"/>
        <v>37.94</v>
      </c>
      <c r="AB266">
        <v>119.2</v>
      </c>
      <c r="AC266">
        <f t="shared" si="19"/>
        <v>1.115943976037552</v>
      </c>
      <c r="AI266" t="e">
        <f>IF(Y266="Yes",NA(),#REF!)</f>
        <v>#N/A</v>
      </c>
      <c r="AJ266" t="e">
        <f>IF(Y266="Yes",NA(),#REF!)</f>
        <v>#N/A</v>
      </c>
      <c r="AK266" t="e">
        <f>IF(Y266="Yes",NA(),#REF!)</f>
        <v>#N/A</v>
      </c>
    </row>
    <row r="267" spans="1:37" x14ac:dyDescent="0.35">
      <c r="A267" s="12">
        <v>266</v>
      </c>
      <c r="C267">
        <v>29</v>
      </c>
      <c r="E267" s="2" t="s">
        <v>52</v>
      </c>
      <c r="F267" s="2">
        <v>3</v>
      </c>
      <c r="G267" t="s">
        <v>66</v>
      </c>
      <c r="H267" t="s">
        <v>67</v>
      </c>
      <c r="J267" s="14">
        <f t="shared" si="18"/>
        <v>238.70000000000002</v>
      </c>
      <c r="K267">
        <v>1300</v>
      </c>
      <c r="N267" t="s">
        <v>54</v>
      </c>
      <c r="Q267">
        <v>4</v>
      </c>
      <c r="U267">
        <v>2</v>
      </c>
      <c r="W267" t="s">
        <v>584</v>
      </c>
      <c r="X267" t="s">
        <v>40</v>
      </c>
      <c r="Y267" t="s">
        <v>40</v>
      </c>
      <c r="AA267">
        <f t="shared" si="20"/>
        <v>23.87</v>
      </c>
      <c r="AB267" s="26">
        <v>75</v>
      </c>
      <c r="AC267">
        <f t="shared" si="19"/>
        <v>0.44178646691106471</v>
      </c>
      <c r="AI267" t="e">
        <f>IF(Y267="Yes",NA(),#REF!)</f>
        <v>#N/A</v>
      </c>
      <c r="AJ267" t="e">
        <f>IF(Y267="Yes",NA(),#REF!)</f>
        <v>#N/A</v>
      </c>
      <c r="AK267" t="e">
        <f>IF(Y267="Yes",NA(),#REF!)</f>
        <v>#N/A</v>
      </c>
    </row>
    <row r="268" spans="1:37" x14ac:dyDescent="0.35">
      <c r="A268" s="12">
        <v>267</v>
      </c>
      <c r="C268">
        <v>29</v>
      </c>
      <c r="E268" s="2">
        <v>8</v>
      </c>
      <c r="F268" s="2">
        <v>8</v>
      </c>
      <c r="G268" t="s">
        <v>66</v>
      </c>
      <c r="H268" t="s">
        <v>237</v>
      </c>
      <c r="I268" t="s">
        <v>585</v>
      </c>
      <c r="J268" s="14">
        <f t="shared" si="18"/>
        <v>108.2</v>
      </c>
      <c r="K268">
        <v>1300</v>
      </c>
      <c r="N268" t="s">
        <v>54</v>
      </c>
      <c r="Q268" t="s">
        <v>55</v>
      </c>
      <c r="U268">
        <v>3</v>
      </c>
      <c r="W268" t="s">
        <v>586</v>
      </c>
      <c r="X268" t="s">
        <v>40</v>
      </c>
      <c r="Y268" t="s">
        <v>40</v>
      </c>
      <c r="AA268">
        <f t="shared" si="20"/>
        <v>10.82</v>
      </c>
      <c r="AB268">
        <v>34</v>
      </c>
      <c r="AC268">
        <f t="shared" si="19"/>
        <v>9.0792027688745031E-2</v>
      </c>
      <c r="AI268" t="e">
        <f>IF(Y268="Yes",NA(),#REF!)</f>
        <v>#N/A</v>
      </c>
      <c r="AJ268" t="e">
        <f>IF(Y268="Yes",NA(),#REF!)</f>
        <v>#N/A</v>
      </c>
      <c r="AK268" t="e">
        <f>IF(Y268="Yes",NA(),#REF!)</f>
        <v>#N/A</v>
      </c>
    </row>
    <row r="269" spans="1:37" x14ac:dyDescent="0.35">
      <c r="A269" s="12">
        <v>268</v>
      </c>
      <c r="C269">
        <v>29</v>
      </c>
      <c r="E269" s="2">
        <v>7</v>
      </c>
      <c r="F269" s="2">
        <v>8</v>
      </c>
      <c r="G269" t="s">
        <v>34</v>
      </c>
      <c r="H269" t="s">
        <v>587</v>
      </c>
      <c r="J269" s="14">
        <f t="shared" si="18"/>
        <v>181.4</v>
      </c>
      <c r="K269">
        <v>1300</v>
      </c>
      <c r="N269" t="s">
        <v>61</v>
      </c>
      <c r="Q269" t="s">
        <v>38</v>
      </c>
      <c r="W269" t="s">
        <v>588</v>
      </c>
      <c r="X269" t="s">
        <v>40</v>
      </c>
      <c r="Y269" t="s">
        <v>40</v>
      </c>
      <c r="AA269">
        <f t="shared" si="20"/>
        <v>18.14</v>
      </c>
      <c r="AB269">
        <v>57</v>
      </c>
      <c r="AC269">
        <f t="shared" si="19"/>
        <v>0.25517586328783093</v>
      </c>
      <c r="AI269" t="e">
        <f>IF(Y269="Yes",NA(),#REF!)</f>
        <v>#N/A</v>
      </c>
      <c r="AJ269" t="e">
        <f>IF(Y269="Yes",NA(),#REF!)</f>
        <v>#N/A</v>
      </c>
      <c r="AK269" t="e">
        <f>IF(Y269="Yes",NA(),#REF!)</f>
        <v>#N/A</v>
      </c>
    </row>
    <row r="270" spans="1:37" x14ac:dyDescent="0.35">
      <c r="A270" s="12">
        <v>269</v>
      </c>
      <c r="C270">
        <v>29</v>
      </c>
      <c r="E270" s="2">
        <v>4</v>
      </c>
      <c r="F270" s="2">
        <v>6</v>
      </c>
      <c r="G270" t="s">
        <v>66</v>
      </c>
      <c r="H270" t="s">
        <v>67</v>
      </c>
      <c r="J270" s="14">
        <f t="shared" si="18"/>
        <v>167.10000000000002</v>
      </c>
      <c r="K270">
        <v>1300</v>
      </c>
      <c r="N270" t="s">
        <v>54</v>
      </c>
      <c r="Q270">
        <v>4</v>
      </c>
      <c r="U270">
        <v>6</v>
      </c>
      <c r="W270" t="s">
        <v>589</v>
      </c>
      <c r="X270" t="s">
        <v>40</v>
      </c>
      <c r="Y270" t="s">
        <v>40</v>
      </c>
      <c r="Z270" t="s">
        <v>590</v>
      </c>
      <c r="AA270">
        <f t="shared" si="20"/>
        <v>16.71</v>
      </c>
      <c r="AB270" s="26">
        <v>52.5</v>
      </c>
      <c r="AC270">
        <f t="shared" si="19"/>
        <v>0.21647536878642168</v>
      </c>
      <c r="AI270" t="e">
        <f>IF(Y270="Yes",NA(),#REF!)</f>
        <v>#N/A</v>
      </c>
      <c r="AJ270" t="e">
        <f>IF(Y270="Yes",NA(),#REF!)</f>
        <v>#N/A</v>
      </c>
      <c r="AK270" t="e">
        <f>IF(Y270="Yes",NA(),#REF!)</f>
        <v>#N/A</v>
      </c>
    </row>
    <row r="271" spans="1:37" x14ac:dyDescent="0.35">
      <c r="A271" s="12">
        <v>270</v>
      </c>
      <c r="C271">
        <v>29</v>
      </c>
      <c r="E271" s="2" t="s">
        <v>392</v>
      </c>
      <c r="F271" s="2" t="s">
        <v>591</v>
      </c>
      <c r="G271" t="s">
        <v>59</v>
      </c>
      <c r="H271" t="s">
        <v>1519</v>
      </c>
      <c r="J271" s="14">
        <f t="shared" si="18"/>
        <v>137.5</v>
      </c>
      <c r="K271">
        <v>1300</v>
      </c>
      <c r="N271" t="s">
        <v>54</v>
      </c>
      <c r="Q271">
        <v>4</v>
      </c>
      <c r="W271" t="s">
        <v>592</v>
      </c>
      <c r="X271" t="s">
        <v>40</v>
      </c>
      <c r="Y271" t="s">
        <v>40</v>
      </c>
      <c r="AA271">
        <f t="shared" si="20"/>
        <v>13.75</v>
      </c>
      <c r="AB271">
        <v>43.2</v>
      </c>
      <c r="AC271">
        <f t="shared" si="19"/>
        <v>0.14657414684588538</v>
      </c>
      <c r="AI271" t="e">
        <f>IF(Y271="Yes",NA(),#REF!)</f>
        <v>#N/A</v>
      </c>
      <c r="AJ271" t="e">
        <f>IF(Y271="Yes",NA(),#REF!)</f>
        <v>#N/A</v>
      </c>
      <c r="AK271" t="e">
        <f>IF(Y271="Yes",NA(),#REF!)</f>
        <v>#N/A</v>
      </c>
    </row>
    <row r="272" spans="1:37" s="28" customFormat="1" x14ac:dyDescent="0.35">
      <c r="A272" s="27">
        <v>271</v>
      </c>
      <c r="C272" s="28">
        <v>29</v>
      </c>
      <c r="E272" s="29" t="s">
        <v>593</v>
      </c>
      <c r="F272" s="29" t="s">
        <v>52</v>
      </c>
      <c r="G272" s="28" t="s">
        <v>114</v>
      </c>
      <c r="H272" s="28" t="s">
        <v>35</v>
      </c>
      <c r="J272" s="30">
        <f t="shared" si="18"/>
        <v>119.39999999999999</v>
      </c>
      <c r="K272" s="28">
        <v>1300</v>
      </c>
      <c r="N272" s="28" t="s">
        <v>54</v>
      </c>
      <c r="Q272" s="28">
        <v>4</v>
      </c>
      <c r="W272" s="28" t="s">
        <v>594</v>
      </c>
      <c r="X272" s="28" t="s">
        <v>40</v>
      </c>
      <c r="Y272" s="28" t="s">
        <v>40</v>
      </c>
      <c r="Z272" s="28" t="s">
        <v>595</v>
      </c>
      <c r="AA272" s="28">
        <f t="shared" si="20"/>
        <v>11.94</v>
      </c>
      <c r="AB272" s="28">
        <v>37.5</v>
      </c>
      <c r="AC272" s="28">
        <f t="shared" si="19"/>
        <v>0.11044661672776618</v>
      </c>
      <c r="AI272" s="28" t="e">
        <f>IF(Y272="Yes",NA(),#REF!)</f>
        <v>#N/A</v>
      </c>
      <c r="AJ272" s="28" t="e">
        <f>IF(Y272="Yes",NA(),#REF!)</f>
        <v>#N/A</v>
      </c>
      <c r="AK272" s="28" t="e">
        <f>IF(Y272="Yes",NA(),#REF!)</f>
        <v>#N/A</v>
      </c>
    </row>
    <row r="273" spans="1:37" x14ac:dyDescent="0.35">
      <c r="A273" s="12">
        <v>272</v>
      </c>
      <c r="C273">
        <v>29</v>
      </c>
      <c r="E273" s="2">
        <v>3</v>
      </c>
      <c r="F273" s="2" t="s">
        <v>51</v>
      </c>
      <c r="G273" t="s">
        <v>89</v>
      </c>
      <c r="H273" t="s">
        <v>90</v>
      </c>
      <c r="J273" s="14">
        <f t="shared" si="18"/>
        <v>213.29999999999998</v>
      </c>
      <c r="K273">
        <v>1300</v>
      </c>
      <c r="N273" t="s">
        <v>54</v>
      </c>
      <c r="Q273">
        <v>4</v>
      </c>
      <c r="U273">
        <v>4</v>
      </c>
      <c r="W273" t="s">
        <v>596</v>
      </c>
      <c r="X273" t="s">
        <v>40</v>
      </c>
      <c r="Y273" t="s">
        <v>40</v>
      </c>
      <c r="AA273">
        <f t="shared" si="20"/>
        <v>21.33</v>
      </c>
      <c r="AB273">
        <v>67</v>
      </c>
      <c r="AC273">
        <f t="shared" si="19"/>
        <v>0.35256523554911451</v>
      </c>
      <c r="AI273" t="e">
        <f>IF(Y273="Yes",NA(),#REF!)</f>
        <v>#N/A</v>
      </c>
      <c r="AJ273" t="e">
        <f>IF(Y273="Yes",NA(),#REF!)</f>
        <v>#N/A</v>
      </c>
      <c r="AK273" t="e">
        <f>IF(Y273="Yes",NA(),#REF!)</f>
        <v>#N/A</v>
      </c>
    </row>
    <row r="274" spans="1:37" x14ac:dyDescent="0.35">
      <c r="A274" s="12">
        <v>274</v>
      </c>
      <c r="C274">
        <v>30</v>
      </c>
      <c r="E274" s="2">
        <v>2</v>
      </c>
      <c r="F274" s="2">
        <v>2</v>
      </c>
      <c r="G274" t="s">
        <v>66</v>
      </c>
      <c r="H274" t="s">
        <v>237</v>
      </c>
      <c r="J274" s="14">
        <f t="shared" si="18"/>
        <v>114.60000000000001</v>
      </c>
      <c r="K274">
        <v>1300</v>
      </c>
      <c r="N274" t="s">
        <v>54</v>
      </c>
      <c r="Q274" t="s">
        <v>55</v>
      </c>
      <c r="U274">
        <v>2</v>
      </c>
      <c r="W274" t="s">
        <v>597</v>
      </c>
      <c r="X274" t="s">
        <v>40</v>
      </c>
      <c r="Y274" t="s">
        <v>40</v>
      </c>
      <c r="AA274">
        <f t="shared" si="20"/>
        <v>11.46</v>
      </c>
      <c r="AB274">
        <v>36</v>
      </c>
      <c r="AC274">
        <f t="shared" si="19"/>
        <v>0.10178760197630929</v>
      </c>
      <c r="AI274" t="e">
        <f>IF(Y274="Yes",NA(),#REF!)</f>
        <v>#N/A</v>
      </c>
      <c r="AJ274" t="e">
        <f>IF(Y274="Yes",NA(),#REF!)</f>
        <v>#N/A</v>
      </c>
      <c r="AK274" t="e">
        <f>IF(Y274="Yes",NA(),#REF!)</f>
        <v>#N/A</v>
      </c>
    </row>
    <row r="275" spans="1:37" x14ac:dyDescent="0.35">
      <c r="A275" s="12">
        <v>275</v>
      </c>
      <c r="C275">
        <v>30</v>
      </c>
      <c r="E275" s="2" t="s">
        <v>598</v>
      </c>
      <c r="F275" s="2" t="s">
        <v>121</v>
      </c>
      <c r="G275" t="s">
        <v>278</v>
      </c>
      <c r="H275" t="s">
        <v>599</v>
      </c>
      <c r="J275" s="14">
        <f t="shared" si="18"/>
        <v>121.30000000000001</v>
      </c>
      <c r="K275">
        <v>1300</v>
      </c>
      <c r="N275" t="s">
        <v>54</v>
      </c>
      <c r="Q275" t="s">
        <v>38</v>
      </c>
      <c r="W275" t="s">
        <v>600</v>
      </c>
      <c r="X275" t="s">
        <v>40</v>
      </c>
      <c r="Y275" t="s">
        <v>40</v>
      </c>
      <c r="Z275" t="s">
        <v>601</v>
      </c>
      <c r="AA275">
        <f t="shared" si="20"/>
        <v>12.13</v>
      </c>
      <c r="AB275">
        <v>38.1</v>
      </c>
      <c r="AC275">
        <f t="shared" si="19"/>
        <v>0.11400918279693702</v>
      </c>
      <c r="AI275" t="e">
        <f>IF(Y275="Yes",NA(),#REF!)</f>
        <v>#N/A</v>
      </c>
      <c r="AJ275" t="e">
        <f>IF(Y275="Yes",NA(),#REF!)</f>
        <v>#N/A</v>
      </c>
      <c r="AK275" t="e">
        <f>IF(Y275="Yes",NA(),#REF!)</f>
        <v>#N/A</v>
      </c>
    </row>
    <row r="276" spans="1:37" x14ac:dyDescent="0.35">
      <c r="A276" s="12">
        <v>276</v>
      </c>
      <c r="C276">
        <v>30</v>
      </c>
      <c r="E276" s="2">
        <v>4</v>
      </c>
      <c r="F276" s="2" t="s">
        <v>602</v>
      </c>
      <c r="G276" t="s">
        <v>76</v>
      </c>
      <c r="H276" t="s">
        <v>77</v>
      </c>
      <c r="J276" s="14">
        <f t="shared" si="18"/>
        <v>194.20000000000002</v>
      </c>
      <c r="K276">
        <v>1300</v>
      </c>
      <c r="N276" t="s">
        <v>54</v>
      </c>
      <c r="Q276" t="s">
        <v>38</v>
      </c>
      <c r="U276">
        <v>3</v>
      </c>
      <c r="W276" t="s">
        <v>603</v>
      </c>
      <c r="X276" t="s">
        <v>40</v>
      </c>
      <c r="Y276" t="s">
        <v>40</v>
      </c>
      <c r="AA276">
        <f t="shared" si="20"/>
        <v>19.420000000000002</v>
      </c>
      <c r="AB276">
        <v>61</v>
      </c>
      <c r="AC276">
        <f t="shared" si="19"/>
        <v>0.2922466566001905</v>
      </c>
      <c r="AI276" t="e">
        <f>IF(Y276="Yes",NA(),#REF!)</f>
        <v>#N/A</v>
      </c>
      <c r="AJ276" t="e">
        <f>IF(Y276="Yes",NA(),#REF!)</f>
        <v>#N/A</v>
      </c>
      <c r="AK276" t="e">
        <f>IF(Y276="Yes",NA(),#REF!)</f>
        <v>#N/A</v>
      </c>
    </row>
    <row r="277" spans="1:37" x14ac:dyDescent="0.35">
      <c r="A277" s="12">
        <v>277</v>
      </c>
      <c r="C277">
        <v>30</v>
      </c>
      <c r="E277" s="2" t="s">
        <v>604</v>
      </c>
      <c r="F277" s="2" t="s">
        <v>602</v>
      </c>
      <c r="G277" t="s">
        <v>47</v>
      </c>
      <c r="H277" t="s">
        <v>35</v>
      </c>
      <c r="J277" s="14">
        <f t="shared" si="18"/>
        <v>127.6</v>
      </c>
      <c r="K277">
        <v>1300</v>
      </c>
      <c r="N277" t="s">
        <v>54</v>
      </c>
      <c r="Q277">
        <v>4</v>
      </c>
      <c r="W277" t="s">
        <v>605</v>
      </c>
      <c r="X277" t="s">
        <v>40</v>
      </c>
      <c r="Y277" t="s">
        <v>40</v>
      </c>
      <c r="AA277">
        <f t="shared" si="20"/>
        <v>12.76</v>
      </c>
      <c r="AB277">
        <v>40.1</v>
      </c>
      <c r="AC277">
        <f t="shared" si="19"/>
        <v>0.12629281007247309</v>
      </c>
      <c r="AI277" t="e">
        <f>IF(Y277="Yes",NA(),#REF!)</f>
        <v>#N/A</v>
      </c>
      <c r="AJ277" t="e">
        <f>IF(Y277="Yes",NA(),#REF!)</f>
        <v>#N/A</v>
      </c>
      <c r="AK277" t="e">
        <f>IF(Y277="Yes",NA(),#REF!)</f>
        <v>#N/A</v>
      </c>
    </row>
    <row r="278" spans="1:37" x14ac:dyDescent="0.35">
      <c r="A278" s="12">
        <v>278</v>
      </c>
      <c r="C278">
        <v>30</v>
      </c>
      <c r="E278" s="2">
        <v>6</v>
      </c>
      <c r="F278" s="2">
        <v>2</v>
      </c>
      <c r="G278" t="s">
        <v>34</v>
      </c>
      <c r="H278" t="s">
        <v>606</v>
      </c>
      <c r="J278" s="14">
        <f t="shared" si="18"/>
        <v>299.20000000000005</v>
      </c>
      <c r="K278">
        <v>1600</v>
      </c>
      <c r="N278" t="s">
        <v>37</v>
      </c>
      <c r="Q278">
        <v>4</v>
      </c>
      <c r="W278" t="s">
        <v>607</v>
      </c>
      <c r="X278" t="s">
        <v>40</v>
      </c>
      <c r="Y278" t="s">
        <v>40</v>
      </c>
      <c r="Z278" t="s">
        <v>608</v>
      </c>
      <c r="AA278">
        <f t="shared" si="20"/>
        <v>29.92</v>
      </c>
      <c r="AB278">
        <v>94</v>
      </c>
      <c r="AI278" t="e">
        <f>IF(Y278="Yes",NA(),#REF!)</f>
        <v>#N/A</v>
      </c>
      <c r="AJ278" t="e">
        <f>IF(Y278="Yes",NA(),#REF!)</f>
        <v>#N/A</v>
      </c>
      <c r="AK278" t="e">
        <f>IF(Y278="Yes",NA(),#REF!)</f>
        <v>#N/A</v>
      </c>
    </row>
    <row r="279" spans="1:37" x14ac:dyDescent="0.35">
      <c r="A279" s="12">
        <v>279</v>
      </c>
      <c r="C279">
        <v>30</v>
      </c>
      <c r="E279" s="2">
        <v>7</v>
      </c>
      <c r="F279" s="2">
        <v>4</v>
      </c>
      <c r="G279" t="s">
        <v>59</v>
      </c>
      <c r="H279" t="s">
        <v>423</v>
      </c>
      <c r="J279" s="14">
        <f t="shared" si="18"/>
        <v>413.8</v>
      </c>
      <c r="K279">
        <v>1300</v>
      </c>
      <c r="N279" t="s">
        <v>54</v>
      </c>
      <c r="Q279">
        <v>5</v>
      </c>
      <c r="W279" t="s">
        <v>609</v>
      </c>
      <c r="Y279" t="s">
        <v>40</v>
      </c>
      <c r="AA279">
        <f t="shared" si="20"/>
        <v>41.38</v>
      </c>
      <c r="AB279" s="31">
        <v>130</v>
      </c>
      <c r="AC279">
        <f t="shared" ref="AC279:AC290" si="21">PI()*(AB279/2)*(AB279/2)/10000</f>
        <v>1.3273228961416874</v>
      </c>
      <c r="AI279" t="e">
        <f>IF(Y279="Yes",NA(),#REF!)</f>
        <v>#N/A</v>
      </c>
      <c r="AJ279" t="e">
        <f>IF(Y279="Yes",NA(),#REF!)</f>
        <v>#N/A</v>
      </c>
      <c r="AK279" t="e">
        <f>IF(Y279="Yes",NA(),#REF!)</f>
        <v>#N/A</v>
      </c>
    </row>
    <row r="280" spans="1:37" x14ac:dyDescent="0.35">
      <c r="A280" s="12">
        <v>280</v>
      </c>
      <c r="C280">
        <v>30</v>
      </c>
      <c r="E280" s="2" t="s">
        <v>52</v>
      </c>
      <c r="F280" s="2" t="s">
        <v>610</v>
      </c>
      <c r="G280" t="s">
        <v>114</v>
      </c>
      <c r="H280" t="s">
        <v>35</v>
      </c>
      <c r="J280" s="14">
        <f t="shared" si="18"/>
        <v>112.69999999999999</v>
      </c>
      <c r="K280">
        <v>1300</v>
      </c>
      <c r="N280" t="s">
        <v>61</v>
      </c>
      <c r="Q280" t="s">
        <v>259</v>
      </c>
      <c r="U280">
        <v>4</v>
      </c>
      <c r="W280" t="s">
        <v>611</v>
      </c>
      <c r="X280" t="s">
        <v>40</v>
      </c>
      <c r="Y280" t="s">
        <v>40</v>
      </c>
      <c r="AA280">
        <f t="shared" si="20"/>
        <v>11.27</v>
      </c>
      <c r="AB280">
        <v>35.4</v>
      </c>
      <c r="AC280">
        <f t="shared" si="21"/>
        <v>9.8422956244314616E-2</v>
      </c>
      <c r="AI280" t="e">
        <f>IF(Y280="Yes",NA(),#REF!)</f>
        <v>#N/A</v>
      </c>
      <c r="AJ280" t="e">
        <f>IF(Y280="Yes",NA(),#REF!)</f>
        <v>#N/A</v>
      </c>
      <c r="AK280" t="e">
        <f>IF(Y280="Yes",NA(),#REF!)</f>
        <v>#N/A</v>
      </c>
    </row>
    <row r="281" spans="1:37" x14ac:dyDescent="0.35">
      <c r="A281" s="12">
        <v>281</v>
      </c>
      <c r="C281">
        <v>30</v>
      </c>
      <c r="E281" s="2" t="s">
        <v>548</v>
      </c>
      <c r="F281" s="2">
        <v>5</v>
      </c>
      <c r="G281" t="s">
        <v>114</v>
      </c>
      <c r="H281" t="s">
        <v>35</v>
      </c>
      <c r="J281" s="14">
        <f t="shared" si="18"/>
        <v>127.30000000000001</v>
      </c>
      <c r="K281">
        <v>1300</v>
      </c>
      <c r="N281" t="s">
        <v>54</v>
      </c>
      <c r="Q281" t="s">
        <v>38</v>
      </c>
      <c r="W281" t="s">
        <v>612</v>
      </c>
      <c r="X281" t="s">
        <v>40</v>
      </c>
      <c r="Y281" t="s">
        <v>40</v>
      </c>
      <c r="AA281">
        <f t="shared" si="20"/>
        <v>12.73</v>
      </c>
      <c r="AB281">
        <v>40</v>
      </c>
      <c r="AC281">
        <f t="shared" si="21"/>
        <v>0.12566370614359174</v>
      </c>
      <c r="AI281" t="e">
        <f>IF(Y281="Yes",NA(),#REF!)</f>
        <v>#N/A</v>
      </c>
      <c r="AJ281" t="e">
        <f>IF(Y281="Yes",NA(),#REF!)</f>
        <v>#N/A</v>
      </c>
      <c r="AK281" t="e">
        <f>IF(Y281="Yes",NA(),#REF!)</f>
        <v>#N/A</v>
      </c>
    </row>
    <row r="282" spans="1:37" x14ac:dyDescent="0.35">
      <c r="A282" s="12">
        <v>282</v>
      </c>
      <c r="C282">
        <v>30</v>
      </c>
      <c r="E282" s="2">
        <v>9</v>
      </c>
      <c r="F282" s="2">
        <v>7</v>
      </c>
      <c r="G282" t="s">
        <v>66</v>
      </c>
      <c r="H282" t="s">
        <v>67</v>
      </c>
      <c r="J282" s="14">
        <f t="shared" si="18"/>
        <v>159.19999999999999</v>
      </c>
      <c r="K282">
        <v>1300</v>
      </c>
      <c r="N282" t="s">
        <v>54</v>
      </c>
      <c r="Q282" t="s">
        <v>38</v>
      </c>
      <c r="W282" t="s">
        <v>613</v>
      </c>
      <c r="X282" t="s">
        <v>40</v>
      </c>
      <c r="Y282" t="s">
        <v>40</v>
      </c>
      <c r="AA282">
        <f t="shared" si="20"/>
        <v>15.92</v>
      </c>
      <c r="AB282" s="26">
        <v>50</v>
      </c>
      <c r="AC282">
        <f t="shared" si="21"/>
        <v>0.19634954084936207</v>
      </c>
      <c r="AI282" t="e">
        <f>IF(Y282="Yes",NA(),#REF!)</f>
        <v>#N/A</v>
      </c>
      <c r="AJ282" t="e">
        <f>IF(Y282="Yes",NA(),#REF!)</f>
        <v>#N/A</v>
      </c>
      <c r="AK282" t="e">
        <f>IF(Y282="Yes",NA(),#REF!)</f>
        <v>#N/A</v>
      </c>
    </row>
    <row r="283" spans="1:37" x14ac:dyDescent="0.35">
      <c r="A283" s="12">
        <v>283</v>
      </c>
      <c r="C283">
        <v>30</v>
      </c>
      <c r="E283" s="2">
        <v>9</v>
      </c>
      <c r="F283" s="2" t="s">
        <v>52</v>
      </c>
      <c r="G283" t="s">
        <v>114</v>
      </c>
      <c r="H283" t="s">
        <v>35</v>
      </c>
      <c r="J283" s="14">
        <f t="shared" si="18"/>
        <v>162.30000000000001</v>
      </c>
      <c r="K283">
        <v>1300</v>
      </c>
      <c r="N283" t="s">
        <v>61</v>
      </c>
      <c r="Q283" t="s">
        <v>55</v>
      </c>
      <c r="W283" t="s">
        <v>614</v>
      </c>
      <c r="X283" t="s">
        <v>40</v>
      </c>
      <c r="Y283" t="s">
        <v>40</v>
      </c>
      <c r="AA283">
        <f t="shared" si="20"/>
        <v>16.23</v>
      </c>
      <c r="AB283">
        <v>51</v>
      </c>
      <c r="AC283">
        <f t="shared" si="21"/>
        <v>0.2042820622996763</v>
      </c>
      <c r="AI283" t="e">
        <f>IF(Y283="Yes",NA(),#REF!)</f>
        <v>#N/A</v>
      </c>
      <c r="AJ283" t="e">
        <f>IF(Y283="Yes",NA(),#REF!)</f>
        <v>#N/A</v>
      </c>
      <c r="AK283" t="e">
        <f>IF(Y283="Yes",NA(),#REF!)</f>
        <v>#N/A</v>
      </c>
    </row>
    <row r="284" spans="1:37" x14ac:dyDescent="0.35">
      <c r="A284" s="12">
        <v>284</v>
      </c>
      <c r="C284">
        <v>30</v>
      </c>
      <c r="E284" s="2">
        <v>8</v>
      </c>
      <c r="F284" s="2" t="s">
        <v>281</v>
      </c>
      <c r="G284" t="s">
        <v>114</v>
      </c>
      <c r="H284" t="s">
        <v>35</v>
      </c>
      <c r="J284" s="14">
        <f t="shared" si="18"/>
        <v>103.5</v>
      </c>
      <c r="K284">
        <v>1300</v>
      </c>
      <c r="N284" t="s">
        <v>37</v>
      </c>
      <c r="Q284" t="s">
        <v>259</v>
      </c>
      <c r="W284" t="s">
        <v>615</v>
      </c>
      <c r="X284" t="s">
        <v>40</v>
      </c>
      <c r="Y284" t="s">
        <v>40</v>
      </c>
      <c r="Z284" t="s">
        <v>616</v>
      </c>
      <c r="AA284">
        <f t="shared" si="20"/>
        <v>10.35</v>
      </c>
      <c r="AB284">
        <v>32.5</v>
      </c>
      <c r="AC284">
        <f t="shared" si="21"/>
        <v>8.2957681008855463E-2</v>
      </c>
      <c r="AI284" t="e">
        <f>IF(Y284="Yes",NA(),#REF!)</f>
        <v>#N/A</v>
      </c>
      <c r="AJ284" t="e">
        <f>IF(Y284="Yes",NA(),#REF!)</f>
        <v>#N/A</v>
      </c>
      <c r="AK284" t="e">
        <f>IF(Y284="Yes",NA(),#REF!)</f>
        <v>#N/A</v>
      </c>
    </row>
    <row r="285" spans="1:37" x14ac:dyDescent="0.35">
      <c r="A285" s="12">
        <v>285</v>
      </c>
      <c r="C285">
        <v>30</v>
      </c>
      <c r="E285" s="2" t="s">
        <v>281</v>
      </c>
      <c r="F285" s="2" t="s">
        <v>281</v>
      </c>
      <c r="G285" t="s">
        <v>114</v>
      </c>
      <c r="H285" t="s">
        <v>35</v>
      </c>
      <c r="J285" s="14">
        <f t="shared" si="18"/>
        <v>300.79999999999995</v>
      </c>
      <c r="K285">
        <v>1300</v>
      </c>
      <c r="N285" t="s">
        <v>54</v>
      </c>
      <c r="Q285">
        <v>5</v>
      </c>
      <c r="W285" t="s">
        <v>617</v>
      </c>
      <c r="X285" t="s">
        <v>40</v>
      </c>
      <c r="Y285" t="s">
        <v>40</v>
      </c>
      <c r="AA285">
        <f t="shared" si="20"/>
        <v>30.08</v>
      </c>
      <c r="AB285">
        <v>94.5</v>
      </c>
      <c r="AC285">
        <f t="shared" si="21"/>
        <v>0.70138019486800629</v>
      </c>
      <c r="AI285" t="e">
        <f>IF(Y285="Yes",NA(),#REF!)</f>
        <v>#N/A</v>
      </c>
      <c r="AJ285" t="e">
        <f>IF(Y285="Yes",NA(),#REF!)</f>
        <v>#N/A</v>
      </c>
      <c r="AK285" t="e">
        <f>IF(Y285="Yes",NA(),#REF!)</f>
        <v>#N/A</v>
      </c>
    </row>
    <row r="286" spans="1:37" x14ac:dyDescent="0.35">
      <c r="A286" s="12">
        <v>286</v>
      </c>
      <c r="C286">
        <v>30</v>
      </c>
      <c r="E286" s="2">
        <v>5</v>
      </c>
      <c r="F286" s="2">
        <v>5</v>
      </c>
      <c r="G286" t="s">
        <v>178</v>
      </c>
      <c r="H286" t="s">
        <v>294</v>
      </c>
      <c r="J286" s="14">
        <f t="shared" si="18"/>
        <v>140.1</v>
      </c>
      <c r="K286">
        <v>1300</v>
      </c>
      <c r="N286" t="s">
        <v>61</v>
      </c>
      <c r="Q286" t="s">
        <v>55</v>
      </c>
      <c r="U286">
        <v>2</v>
      </c>
      <c r="W286" t="s">
        <v>618</v>
      </c>
      <c r="X286" t="s">
        <v>40</v>
      </c>
      <c r="Y286" t="s">
        <v>40</v>
      </c>
      <c r="Z286" t="s">
        <v>619</v>
      </c>
      <c r="AA286">
        <f t="shared" si="20"/>
        <v>14.01</v>
      </c>
      <c r="AB286">
        <v>44</v>
      </c>
      <c r="AC286">
        <f t="shared" si="21"/>
        <v>0.15205308443374596</v>
      </c>
      <c r="AI286" t="e">
        <f>IF(Y286="Yes",NA(),#REF!)</f>
        <v>#N/A</v>
      </c>
      <c r="AJ286" t="e">
        <f>IF(Y286="Yes",NA(),#REF!)</f>
        <v>#N/A</v>
      </c>
      <c r="AK286" t="e">
        <f>IF(Y286="Yes",NA(),#REF!)</f>
        <v>#N/A</v>
      </c>
    </row>
    <row r="287" spans="1:37" x14ac:dyDescent="0.35">
      <c r="A287" s="12">
        <v>287</v>
      </c>
      <c r="C287">
        <v>30</v>
      </c>
      <c r="E287" s="2" t="s">
        <v>121</v>
      </c>
      <c r="F287" s="2">
        <v>5</v>
      </c>
      <c r="G287" t="s">
        <v>42</v>
      </c>
      <c r="H287" t="s">
        <v>116</v>
      </c>
      <c r="J287" s="14">
        <f t="shared" si="18"/>
        <v>283.29999999999995</v>
      </c>
      <c r="K287">
        <v>1300</v>
      </c>
      <c r="N287" t="s">
        <v>54</v>
      </c>
      <c r="Q287">
        <v>4</v>
      </c>
      <c r="U287">
        <v>3</v>
      </c>
      <c r="W287" t="s">
        <v>620</v>
      </c>
      <c r="X287" t="s">
        <v>40</v>
      </c>
      <c r="Y287" t="s">
        <v>40</v>
      </c>
      <c r="Z287" t="s">
        <v>621</v>
      </c>
      <c r="AA287">
        <f t="shared" si="20"/>
        <v>28.33</v>
      </c>
      <c r="AB287">
        <v>89</v>
      </c>
      <c r="AC287">
        <f t="shared" si="21"/>
        <v>0.62211388522711886</v>
      </c>
      <c r="AI287" t="e">
        <f>IF(Y287="Yes",NA(),#REF!)</f>
        <v>#N/A</v>
      </c>
      <c r="AJ287" t="e">
        <f>IF(Y287="Yes",NA(),#REF!)</f>
        <v>#N/A</v>
      </c>
      <c r="AK287" t="e">
        <f>IF(Y287="Yes",NA(),#REF!)</f>
        <v>#N/A</v>
      </c>
    </row>
    <row r="288" spans="1:37" x14ac:dyDescent="0.35">
      <c r="A288" s="12">
        <v>288</v>
      </c>
      <c r="C288">
        <v>30</v>
      </c>
      <c r="E288" s="2">
        <v>1</v>
      </c>
      <c r="F288" s="2">
        <v>9</v>
      </c>
      <c r="G288" t="s">
        <v>34</v>
      </c>
      <c r="H288" t="s">
        <v>95</v>
      </c>
      <c r="J288" s="14">
        <f t="shared" si="18"/>
        <v>168.70000000000002</v>
      </c>
      <c r="K288">
        <v>1300</v>
      </c>
      <c r="N288" t="s">
        <v>37</v>
      </c>
      <c r="Q288">
        <v>5</v>
      </c>
      <c r="U288">
        <v>4</v>
      </c>
      <c r="W288" t="s">
        <v>622</v>
      </c>
      <c r="X288" t="s">
        <v>40</v>
      </c>
      <c r="Y288" t="s">
        <v>40</v>
      </c>
      <c r="AA288">
        <f t="shared" si="20"/>
        <v>16.87</v>
      </c>
      <c r="AB288" s="26">
        <v>53</v>
      </c>
      <c r="AC288">
        <f t="shared" si="21"/>
        <v>0.22061834409834324</v>
      </c>
      <c r="AI288" t="e">
        <f>IF(Y288="Yes",NA(),#REF!)</f>
        <v>#N/A</v>
      </c>
      <c r="AJ288" t="e">
        <f>IF(Y288="Yes",NA(),#REF!)</f>
        <v>#N/A</v>
      </c>
      <c r="AK288" t="e">
        <f>IF(Y288="Yes",NA(),#REF!)</f>
        <v>#N/A</v>
      </c>
    </row>
    <row r="289" spans="1:37" x14ac:dyDescent="0.35">
      <c r="A289" s="12">
        <v>289</v>
      </c>
      <c r="C289">
        <v>30</v>
      </c>
      <c r="E289" s="2" t="s">
        <v>79</v>
      </c>
      <c r="F289" s="2">
        <v>5</v>
      </c>
      <c r="G289" t="s">
        <v>34</v>
      </c>
      <c r="H289" t="s">
        <v>35</v>
      </c>
      <c r="J289" s="14">
        <f t="shared" si="18"/>
        <v>119.39999999999999</v>
      </c>
      <c r="K289">
        <v>1300</v>
      </c>
      <c r="N289" t="s">
        <v>37</v>
      </c>
      <c r="Q289" t="s">
        <v>55</v>
      </c>
      <c r="W289" t="s">
        <v>623</v>
      </c>
      <c r="X289" t="s">
        <v>40</v>
      </c>
      <c r="Y289" t="s">
        <v>40</v>
      </c>
      <c r="AA289">
        <f t="shared" si="20"/>
        <v>11.94</v>
      </c>
      <c r="AB289">
        <v>37.5</v>
      </c>
      <c r="AC289">
        <f t="shared" si="21"/>
        <v>0.11044661672776618</v>
      </c>
      <c r="AI289" t="e">
        <f>IF(Y289="Yes",NA(),#REF!)</f>
        <v>#N/A</v>
      </c>
      <c r="AJ289" t="e">
        <f>IF(Y289="Yes",NA(),#REF!)</f>
        <v>#N/A</v>
      </c>
      <c r="AK289" t="e">
        <f>IF(Y289="Yes",NA(),#REF!)</f>
        <v>#N/A</v>
      </c>
    </row>
    <row r="290" spans="1:37" x14ac:dyDescent="0.35">
      <c r="A290" s="12">
        <v>290</v>
      </c>
      <c r="C290">
        <v>31</v>
      </c>
      <c r="E290" s="2" t="s">
        <v>92</v>
      </c>
      <c r="F290" s="2">
        <v>8</v>
      </c>
      <c r="G290" t="s">
        <v>114</v>
      </c>
      <c r="H290" t="s">
        <v>35</v>
      </c>
      <c r="J290" s="14">
        <f t="shared" si="18"/>
        <v>276.90000000000003</v>
      </c>
      <c r="K290">
        <v>1300</v>
      </c>
      <c r="N290" t="s">
        <v>54</v>
      </c>
      <c r="Q290">
        <v>5</v>
      </c>
      <c r="W290" t="s">
        <v>624</v>
      </c>
      <c r="X290" t="s">
        <v>40</v>
      </c>
      <c r="Y290" t="s">
        <v>40</v>
      </c>
      <c r="AA290">
        <f t="shared" si="20"/>
        <v>27.69</v>
      </c>
      <c r="AB290">
        <v>87</v>
      </c>
      <c r="AC290">
        <f t="shared" si="21"/>
        <v>0.59446786987552858</v>
      </c>
      <c r="AI290" t="e">
        <f>IF(Y290="Yes",NA(),#REF!)</f>
        <v>#N/A</v>
      </c>
      <c r="AJ290" t="e">
        <f>IF(Y290="Yes",NA(),#REF!)</f>
        <v>#N/A</v>
      </c>
      <c r="AK290" t="e">
        <f>IF(Y290="Yes",NA(),#REF!)</f>
        <v>#N/A</v>
      </c>
    </row>
    <row r="291" spans="1:37" x14ac:dyDescent="0.35">
      <c r="A291" s="12">
        <v>291</v>
      </c>
      <c r="C291">
        <v>31</v>
      </c>
      <c r="E291" s="2">
        <v>3</v>
      </c>
      <c r="F291" s="2" t="s">
        <v>51</v>
      </c>
      <c r="G291" t="s">
        <v>114</v>
      </c>
      <c r="H291" t="s">
        <v>35</v>
      </c>
      <c r="J291" s="14">
        <f t="shared" si="18"/>
        <v>331</v>
      </c>
      <c r="K291">
        <v>1600</v>
      </c>
      <c r="N291" t="s">
        <v>37</v>
      </c>
      <c r="Q291">
        <v>5</v>
      </c>
      <c r="W291" t="s">
        <v>625</v>
      </c>
      <c r="X291" t="s">
        <v>40</v>
      </c>
      <c r="Y291" t="s">
        <v>40</v>
      </c>
      <c r="Z291" t="s">
        <v>626</v>
      </c>
      <c r="AA291">
        <f t="shared" si="20"/>
        <v>33.1</v>
      </c>
      <c r="AB291">
        <v>104</v>
      </c>
      <c r="AI291" t="e">
        <f>IF(Y291="Yes",NA(),#REF!)</f>
        <v>#N/A</v>
      </c>
      <c r="AJ291" t="e">
        <f>IF(Y291="Yes",NA(),#REF!)</f>
        <v>#N/A</v>
      </c>
      <c r="AK291" t="e">
        <f>IF(Y291="Yes",NA(),#REF!)</f>
        <v>#N/A</v>
      </c>
    </row>
    <row r="292" spans="1:37" x14ac:dyDescent="0.35">
      <c r="A292" s="12">
        <v>292</v>
      </c>
      <c r="C292">
        <v>31</v>
      </c>
      <c r="E292" s="2" t="s">
        <v>364</v>
      </c>
      <c r="F292" s="2" t="s">
        <v>122</v>
      </c>
      <c r="G292" t="s">
        <v>34</v>
      </c>
      <c r="H292" t="s">
        <v>35</v>
      </c>
      <c r="J292" s="14">
        <f t="shared" si="18"/>
        <v>210.10000000000002</v>
      </c>
      <c r="K292">
        <v>1300</v>
      </c>
      <c r="N292" t="s">
        <v>54</v>
      </c>
      <c r="Q292">
        <v>5</v>
      </c>
      <c r="U292">
        <v>3</v>
      </c>
      <c r="W292" t="s">
        <v>627</v>
      </c>
      <c r="X292" t="s">
        <v>40</v>
      </c>
      <c r="Y292" t="s">
        <v>40</v>
      </c>
      <c r="AA292">
        <f t="shared" si="20"/>
        <v>21.01</v>
      </c>
      <c r="AB292">
        <v>66</v>
      </c>
      <c r="AC292">
        <f t="shared" ref="AC292:AC323" si="22">PI()*(AB292/2)*(AB292/2)/10000</f>
        <v>0.34211943997592847</v>
      </c>
      <c r="AI292" t="e">
        <f>IF(Y292="Yes",NA(),#REF!)</f>
        <v>#N/A</v>
      </c>
      <c r="AJ292" t="e">
        <f>IF(Y292="Yes",NA(),#REF!)</f>
        <v>#N/A</v>
      </c>
      <c r="AK292" t="e">
        <f>IF(Y292="Yes",NA(),#REF!)</f>
        <v>#N/A</v>
      </c>
    </row>
    <row r="293" spans="1:37" x14ac:dyDescent="0.35">
      <c r="A293" s="12">
        <v>293</v>
      </c>
      <c r="C293">
        <v>31</v>
      </c>
      <c r="E293" s="2">
        <v>10</v>
      </c>
      <c r="F293" s="2">
        <v>6</v>
      </c>
      <c r="G293" t="s">
        <v>114</v>
      </c>
      <c r="H293" t="s">
        <v>35</v>
      </c>
      <c r="J293" s="14">
        <f t="shared" si="18"/>
        <v>127.30000000000001</v>
      </c>
      <c r="K293">
        <v>1300</v>
      </c>
      <c r="N293" t="s">
        <v>54</v>
      </c>
      <c r="Q293" t="s">
        <v>38</v>
      </c>
      <c r="W293" t="s">
        <v>628</v>
      </c>
      <c r="X293" t="s">
        <v>40</v>
      </c>
      <c r="Y293" t="s">
        <v>40</v>
      </c>
      <c r="AA293">
        <f t="shared" si="20"/>
        <v>12.73</v>
      </c>
      <c r="AB293">
        <v>40</v>
      </c>
      <c r="AC293">
        <f t="shared" si="22"/>
        <v>0.12566370614359174</v>
      </c>
      <c r="AI293" t="e">
        <f>IF(Y293="Yes",NA(),#REF!)</f>
        <v>#N/A</v>
      </c>
      <c r="AJ293" t="e">
        <f>IF(Y293="Yes",NA(),#REF!)</f>
        <v>#N/A</v>
      </c>
      <c r="AK293" t="e">
        <f>IF(Y293="Yes",NA(),#REF!)</f>
        <v>#N/A</v>
      </c>
    </row>
    <row r="294" spans="1:37" x14ac:dyDescent="0.35">
      <c r="A294" s="12">
        <v>294</v>
      </c>
      <c r="C294">
        <v>31</v>
      </c>
      <c r="E294" s="2">
        <v>8</v>
      </c>
      <c r="F294" s="2" t="s">
        <v>281</v>
      </c>
      <c r="G294" t="s">
        <v>114</v>
      </c>
      <c r="H294" t="s">
        <v>35</v>
      </c>
      <c r="J294" s="14">
        <f t="shared" si="18"/>
        <v>162.30000000000001</v>
      </c>
      <c r="K294">
        <v>1300</v>
      </c>
      <c r="N294" t="s">
        <v>486</v>
      </c>
      <c r="Q294" t="s">
        <v>38</v>
      </c>
      <c r="W294" t="s">
        <v>629</v>
      </c>
      <c r="X294" t="s">
        <v>40</v>
      </c>
      <c r="Y294" t="s">
        <v>40</v>
      </c>
      <c r="AA294">
        <f t="shared" si="20"/>
        <v>16.23</v>
      </c>
      <c r="AB294">
        <v>51</v>
      </c>
      <c r="AC294">
        <f t="shared" si="22"/>
        <v>0.2042820622996763</v>
      </c>
      <c r="AI294" t="e">
        <f>IF(Y294="Yes",NA(),#REF!)</f>
        <v>#N/A</v>
      </c>
      <c r="AJ294" t="e">
        <f>IF(Y294="Yes",NA(),#REF!)</f>
        <v>#N/A</v>
      </c>
      <c r="AK294" t="e">
        <f>IF(Y294="Yes",NA(),#REF!)</f>
        <v>#N/A</v>
      </c>
    </row>
    <row r="295" spans="1:37" x14ac:dyDescent="0.35">
      <c r="A295" s="12">
        <v>295</v>
      </c>
      <c r="C295">
        <v>31</v>
      </c>
      <c r="E295" s="2">
        <v>3</v>
      </c>
      <c r="F295" s="2" t="s">
        <v>281</v>
      </c>
      <c r="G295" t="s">
        <v>404</v>
      </c>
      <c r="H295" t="s">
        <v>409</v>
      </c>
      <c r="J295" s="14">
        <f t="shared" si="18"/>
        <v>125.1</v>
      </c>
      <c r="K295">
        <v>1300</v>
      </c>
      <c r="N295" t="s">
        <v>297</v>
      </c>
      <c r="Q295" t="s">
        <v>38</v>
      </c>
      <c r="U295">
        <v>3</v>
      </c>
      <c r="W295" t="s">
        <v>630</v>
      </c>
      <c r="X295" t="s">
        <v>40</v>
      </c>
      <c r="Y295" t="s">
        <v>40</v>
      </c>
      <c r="AA295">
        <f t="shared" si="20"/>
        <v>12.51</v>
      </c>
      <c r="AB295">
        <v>39.299999999999997</v>
      </c>
      <c r="AC295">
        <f t="shared" si="22"/>
        <v>0.12130396093857246</v>
      </c>
      <c r="AI295" t="e">
        <f>IF(Y295="Yes",NA(),#REF!)</f>
        <v>#N/A</v>
      </c>
      <c r="AJ295" t="e">
        <f>IF(Y295="Yes",NA(),#REF!)</f>
        <v>#N/A</v>
      </c>
      <c r="AK295" t="e">
        <f>IF(Y295="Yes",NA(),#REF!)</f>
        <v>#N/A</v>
      </c>
    </row>
    <row r="296" spans="1:37" x14ac:dyDescent="0.35">
      <c r="A296" s="12">
        <v>296</v>
      </c>
      <c r="C296">
        <v>31</v>
      </c>
      <c r="E296" s="2" t="s">
        <v>92</v>
      </c>
      <c r="F296" s="2">
        <v>7</v>
      </c>
      <c r="G296" t="s">
        <v>404</v>
      </c>
      <c r="H296" t="s">
        <v>409</v>
      </c>
      <c r="J296" s="14">
        <f t="shared" si="18"/>
        <v>140.69999999999999</v>
      </c>
      <c r="K296">
        <v>1300</v>
      </c>
      <c r="N296" t="s">
        <v>54</v>
      </c>
      <c r="Q296" t="s">
        <v>38</v>
      </c>
      <c r="W296" t="s">
        <v>631</v>
      </c>
      <c r="X296" t="s">
        <v>40</v>
      </c>
      <c r="Y296" t="s">
        <v>40</v>
      </c>
      <c r="AA296">
        <f t="shared" si="20"/>
        <v>14.07</v>
      </c>
      <c r="AB296">
        <v>44.2</v>
      </c>
      <c r="AC296">
        <f t="shared" si="22"/>
        <v>0.15343852679397912</v>
      </c>
      <c r="AI296" t="e">
        <f>IF(Y296="Yes",NA(),#REF!)</f>
        <v>#N/A</v>
      </c>
      <c r="AJ296" t="e">
        <f>IF(Y296="Yes",NA(),#REF!)</f>
        <v>#N/A</v>
      </c>
      <c r="AK296" t="e">
        <f>IF(Y296="Yes",NA(),#REF!)</f>
        <v>#N/A</v>
      </c>
    </row>
    <row r="297" spans="1:37" x14ac:dyDescent="0.35">
      <c r="A297" s="12">
        <v>297</v>
      </c>
      <c r="C297">
        <v>31</v>
      </c>
      <c r="E297" s="2" t="s">
        <v>121</v>
      </c>
      <c r="F297" s="2">
        <v>7</v>
      </c>
      <c r="G297" t="s">
        <v>42</v>
      </c>
      <c r="H297" t="s">
        <v>35</v>
      </c>
      <c r="J297" s="14">
        <f t="shared" si="18"/>
        <v>128</v>
      </c>
      <c r="K297">
        <v>1300</v>
      </c>
      <c r="N297" t="s">
        <v>632</v>
      </c>
      <c r="Q297" t="s">
        <v>38</v>
      </c>
      <c r="W297" t="s">
        <v>633</v>
      </c>
      <c r="X297" t="s">
        <v>40</v>
      </c>
      <c r="Y297" t="s">
        <v>40</v>
      </c>
      <c r="AA297">
        <f t="shared" si="20"/>
        <v>12.8</v>
      </c>
      <c r="AB297">
        <v>40.200000000000003</v>
      </c>
      <c r="AC297">
        <f t="shared" si="22"/>
        <v>0.12692348479768126</v>
      </c>
      <c r="AI297" t="e">
        <f>IF(Y297="Yes",NA(),#REF!)</f>
        <v>#N/A</v>
      </c>
      <c r="AJ297" t="e">
        <f>IF(Y297="Yes",NA(),#REF!)</f>
        <v>#N/A</v>
      </c>
      <c r="AK297" t="e">
        <f>IF(Y297="Yes",NA(),#REF!)</f>
        <v>#N/A</v>
      </c>
    </row>
    <row r="298" spans="1:37" x14ac:dyDescent="0.35">
      <c r="A298" s="12">
        <v>298</v>
      </c>
      <c r="C298">
        <v>31</v>
      </c>
      <c r="E298" s="2" t="s">
        <v>634</v>
      </c>
      <c r="F298" s="2">
        <v>7</v>
      </c>
      <c r="G298" t="s">
        <v>114</v>
      </c>
      <c r="H298" t="s">
        <v>35</v>
      </c>
      <c r="J298" s="14">
        <f t="shared" si="18"/>
        <v>340.6</v>
      </c>
      <c r="K298">
        <v>1300</v>
      </c>
      <c r="N298" t="s">
        <v>61</v>
      </c>
      <c r="Q298" t="s">
        <v>38</v>
      </c>
      <c r="W298" t="s">
        <v>635</v>
      </c>
      <c r="X298" t="s">
        <v>40</v>
      </c>
      <c r="Y298" t="s">
        <v>40</v>
      </c>
      <c r="AA298">
        <f t="shared" si="20"/>
        <v>34.06</v>
      </c>
      <c r="AB298">
        <v>107</v>
      </c>
      <c r="AC298">
        <f t="shared" si="22"/>
        <v>0.89920235727373854</v>
      </c>
      <c r="AI298" t="e">
        <f>IF(Y298="Yes",NA(),#REF!)</f>
        <v>#N/A</v>
      </c>
      <c r="AJ298" t="e">
        <f>IF(Y298="Yes",NA(),#REF!)</f>
        <v>#N/A</v>
      </c>
      <c r="AK298" t="e">
        <f>IF(Y298="Yes",NA(),#REF!)</f>
        <v>#N/A</v>
      </c>
    </row>
    <row r="299" spans="1:37" x14ac:dyDescent="0.35">
      <c r="A299" s="12">
        <v>299</v>
      </c>
      <c r="C299">
        <v>31</v>
      </c>
      <c r="E299" s="2">
        <v>8</v>
      </c>
      <c r="F299" s="2">
        <v>6</v>
      </c>
      <c r="G299" t="s">
        <v>47</v>
      </c>
      <c r="H299" t="s">
        <v>636</v>
      </c>
      <c r="J299" s="14">
        <f t="shared" si="18"/>
        <v>141.6</v>
      </c>
      <c r="K299">
        <v>1300</v>
      </c>
      <c r="N299" t="s">
        <v>54</v>
      </c>
      <c r="Q299">
        <v>4</v>
      </c>
      <c r="W299" t="s">
        <v>637</v>
      </c>
      <c r="X299" t="s">
        <v>40</v>
      </c>
      <c r="Y299" t="s">
        <v>40</v>
      </c>
      <c r="AA299">
        <f t="shared" si="20"/>
        <v>14.16</v>
      </c>
      <c r="AB299">
        <v>44.5</v>
      </c>
      <c r="AC299">
        <f t="shared" si="22"/>
        <v>0.15552847130677971</v>
      </c>
      <c r="AI299" t="e">
        <f>IF(Y299="Yes",NA(),#REF!)</f>
        <v>#N/A</v>
      </c>
      <c r="AJ299" t="e">
        <f>IF(Y299="Yes",NA(),#REF!)</f>
        <v>#N/A</v>
      </c>
      <c r="AK299" t="e">
        <f>IF(Y299="Yes",NA(),#REF!)</f>
        <v>#N/A</v>
      </c>
    </row>
    <row r="300" spans="1:37" x14ac:dyDescent="0.35">
      <c r="A300" s="12">
        <v>300</v>
      </c>
      <c r="C300">
        <v>31</v>
      </c>
      <c r="E300" s="2">
        <v>10</v>
      </c>
      <c r="F300" s="2">
        <v>5</v>
      </c>
      <c r="G300" t="s">
        <v>47</v>
      </c>
      <c r="H300" t="s">
        <v>35</v>
      </c>
      <c r="J300" s="14">
        <f t="shared" si="18"/>
        <v>115.5</v>
      </c>
      <c r="K300">
        <v>1300</v>
      </c>
      <c r="N300" t="s">
        <v>37</v>
      </c>
      <c r="Q300" t="s">
        <v>152</v>
      </c>
      <c r="W300" t="s">
        <v>638</v>
      </c>
      <c r="X300" t="s">
        <v>40</v>
      </c>
      <c r="Y300" t="s">
        <v>40</v>
      </c>
      <c r="Z300" t="s">
        <v>639</v>
      </c>
      <c r="AA300">
        <f t="shared" si="20"/>
        <v>11.55</v>
      </c>
      <c r="AB300">
        <v>36.299999999999997</v>
      </c>
      <c r="AC300">
        <f t="shared" si="22"/>
        <v>0.10349113059271836</v>
      </c>
      <c r="AI300" t="e">
        <f>IF(Y300="Yes",NA(),#REF!)</f>
        <v>#N/A</v>
      </c>
      <c r="AJ300" t="e">
        <f>IF(Y300="Yes",NA(),#REF!)</f>
        <v>#N/A</v>
      </c>
      <c r="AK300" t="e">
        <f>IF(Y300="Yes",NA(),#REF!)</f>
        <v>#N/A</v>
      </c>
    </row>
    <row r="301" spans="1:37" x14ac:dyDescent="0.35">
      <c r="A301" s="12">
        <v>301</v>
      </c>
      <c r="C301">
        <v>31</v>
      </c>
      <c r="E301" s="23" t="s">
        <v>92</v>
      </c>
      <c r="F301" s="23">
        <v>4</v>
      </c>
      <c r="G301" t="s">
        <v>381</v>
      </c>
      <c r="H301" t="s">
        <v>382</v>
      </c>
      <c r="J301" s="14">
        <f t="shared" si="18"/>
        <v>412.5</v>
      </c>
      <c r="K301">
        <v>1300</v>
      </c>
      <c r="N301" t="s">
        <v>54</v>
      </c>
      <c r="Q301">
        <v>5</v>
      </c>
      <c r="W301" t="s">
        <v>640</v>
      </c>
      <c r="X301" t="s">
        <v>40</v>
      </c>
      <c r="Y301" t="s">
        <v>40</v>
      </c>
      <c r="Z301" t="s">
        <v>641</v>
      </c>
      <c r="AA301">
        <f t="shared" si="20"/>
        <v>41.25</v>
      </c>
      <c r="AB301" s="26">
        <v>129.6</v>
      </c>
      <c r="AC301">
        <f t="shared" si="22"/>
        <v>1.3191673216129685</v>
      </c>
      <c r="AI301" t="e">
        <f>IF(Y301="Yes",NA(),#REF!)</f>
        <v>#N/A</v>
      </c>
      <c r="AJ301" t="e">
        <f>IF(Y301="Yes",NA(),#REF!)</f>
        <v>#N/A</v>
      </c>
      <c r="AK301" t="e">
        <f>IF(Y301="Yes",NA(),#REF!)</f>
        <v>#N/A</v>
      </c>
    </row>
    <row r="302" spans="1:37" x14ac:dyDescent="0.35">
      <c r="A302" s="12">
        <v>302</v>
      </c>
      <c r="C302">
        <v>31</v>
      </c>
      <c r="E302" s="23" t="s">
        <v>92</v>
      </c>
      <c r="F302" s="23" t="s">
        <v>392</v>
      </c>
      <c r="G302" t="s">
        <v>231</v>
      </c>
      <c r="H302" t="s">
        <v>232</v>
      </c>
      <c r="J302" s="14">
        <f t="shared" si="18"/>
        <v>175.10000000000002</v>
      </c>
      <c r="K302">
        <v>1300</v>
      </c>
      <c r="N302" t="s">
        <v>54</v>
      </c>
      <c r="Q302" t="s">
        <v>38</v>
      </c>
      <c r="W302" t="s">
        <v>642</v>
      </c>
      <c r="X302" t="s">
        <v>40</v>
      </c>
      <c r="Y302" t="s">
        <v>40</v>
      </c>
      <c r="AA302">
        <f t="shared" si="20"/>
        <v>17.510000000000002</v>
      </c>
      <c r="AB302" s="26">
        <v>55</v>
      </c>
      <c r="AC302">
        <f t="shared" si="22"/>
        <v>0.23758294442772812</v>
      </c>
      <c r="AI302" t="e">
        <f>IF(Y302="Yes",NA(),#REF!)</f>
        <v>#N/A</v>
      </c>
      <c r="AJ302" t="e">
        <f>IF(Y302="Yes",NA(),#REF!)</f>
        <v>#N/A</v>
      </c>
      <c r="AK302" t="e">
        <f>IF(Y302="Yes",NA(),#REF!)</f>
        <v>#N/A</v>
      </c>
    </row>
    <row r="303" spans="1:37" x14ac:dyDescent="0.35">
      <c r="A303" s="12">
        <v>303</v>
      </c>
      <c r="C303">
        <v>31</v>
      </c>
      <c r="E303" s="2" t="s">
        <v>111</v>
      </c>
      <c r="F303" s="2" t="s">
        <v>643</v>
      </c>
      <c r="G303" t="s">
        <v>34</v>
      </c>
      <c r="H303" t="s">
        <v>35</v>
      </c>
      <c r="J303" s="14">
        <f t="shared" si="18"/>
        <v>167.39999999999998</v>
      </c>
      <c r="K303">
        <v>1300</v>
      </c>
      <c r="N303" t="s">
        <v>54</v>
      </c>
      <c r="Q303" t="s">
        <v>55</v>
      </c>
      <c r="W303" t="s">
        <v>644</v>
      </c>
      <c r="X303" t="s">
        <v>40</v>
      </c>
      <c r="Y303" t="s">
        <v>40</v>
      </c>
      <c r="AA303">
        <f t="shared" si="20"/>
        <v>16.739999999999998</v>
      </c>
      <c r="AB303">
        <v>52.6</v>
      </c>
      <c r="AC303">
        <f t="shared" si="22"/>
        <v>0.21730082225615244</v>
      </c>
      <c r="AI303" t="e">
        <f>IF(Y303="Yes",NA(),#REF!)</f>
        <v>#N/A</v>
      </c>
      <c r="AJ303" t="e">
        <f>IF(Y303="Yes",NA(),#REF!)</f>
        <v>#N/A</v>
      </c>
      <c r="AK303" t="e">
        <f>IF(Y303="Yes",NA(),#REF!)</f>
        <v>#N/A</v>
      </c>
    </row>
    <row r="304" spans="1:37" x14ac:dyDescent="0.35">
      <c r="A304" s="12">
        <v>304</v>
      </c>
      <c r="C304">
        <v>31</v>
      </c>
      <c r="E304" s="2" t="s">
        <v>281</v>
      </c>
      <c r="F304" s="2" t="s">
        <v>79</v>
      </c>
      <c r="G304" t="s">
        <v>70</v>
      </c>
      <c r="H304" t="s">
        <v>35</v>
      </c>
      <c r="J304" s="14">
        <f t="shared" si="18"/>
        <v>259.40000000000003</v>
      </c>
      <c r="K304">
        <v>1300</v>
      </c>
      <c r="N304" t="s">
        <v>54</v>
      </c>
      <c r="Q304">
        <v>4</v>
      </c>
      <c r="W304" t="s">
        <v>645</v>
      </c>
      <c r="X304" t="s">
        <v>40</v>
      </c>
      <c r="Y304" t="s">
        <v>40</v>
      </c>
      <c r="AA304">
        <f t="shared" si="20"/>
        <v>25.94</v>
      </c>
      <c r="AB304">
        <v>81.5</v>
      </c>
      <c r="AC304">
        <f t="shared" si="22"/>
        <v>0.52168109508267002</v>
      </c>
      <c r="AI304" t="e">
        <f>IF(Y304="Yes",NA(),#REF!)</f>
        <v>#N/A</v>
      </c>
      <c r="AJ304" t="e">
        <f>IF(Y304="Yes",NA(),#REF!)</f>
        <v>#N/A</v>
      </c>
      <c r="AK304" t="e">
        <f>IF(Y304="Yes",NA(),#REF!)</f>
        <v>#N/A</v>
      </c>
    </row>
    <row r="305" spans="1:37" x14ac:dyDescent="0.35">
      <c r="A305" s="12">
        <v>305</v>
      </c>
      <c r="C305">
        <v>31</v>
      </c>
      <c r="E305" s="2">
        <v>6</v>
      </c>
      <c r="F305" s="2">
        <v>1</v>
      </c>
      <c r="G305" t="s">
        <v>34</v>
      </c>
      <c r="H305" t="s">
        <v>35</v>
      </c>
      <c r="J305" s="14">
        <f t="shared" si="18"/>
        <v>206.9</v>
      </c>
      <c r="K305">
        <v>1300</v>
      </c>
      <c r="N305" t="s">
        <v>54</v>
      </c>
      <c r="Q305">
        <v>4</v>
      </c>
      <c r="W305" t="s">
        <v>646</v>
      </c>
      <c r="X305" t="s">
        <v>40</v>
      </c>
      <c r="Y305" t="s">
        <v>40</v>
      </c>
      <c r="AA305">
        <f t="shared" si="20"/>
        <v>20.69</v>
      </c>
      <c r="AB305">
        <v>65</v>
      </c>
      <c r="AC305">
        <f t="shared" si="22"/>
        <v>0.33183072403542185</v>
      </c>
      <c r="AI305" t="e">
        <f>IF(Y305="Yes",NA(),#REF!)</f>
        <v>#N/A</v>
      </c>
      <c r="AJ305" t="e">
        <f>IF(Y305="Yes",NA(),#REF!)</f>
        <v>#N/A</v>
      </c>
      <c r="AK305" t="e">
        <f>IF(Y305="Yes",NA(),#REF!)</f>
        <v>#N/A</v>
      </c>
    </row>
    <row r="306" spans="1:37" x14ac:dyDescent="0.35">
      <c r="A306" s="12">
        <v>306</v>
      </c>
      <c r="C306">
        <v>31</v>
      </c>
      <c r="E306" s="2" t="s">
        <v>174</v>
      </c>
      <c r="F306" s="2" t="s">
        <v>647</v>
      </c>
      <c r="G306" t="s">
        <v>66</v>
      </c>
      <c r="H306" t="s">
        <v>237</v>
      </c>
      <c r="J306" s="14">
        <f t="shared" si="18"/>
        <v>236.5</v>
      </c>
      <c r="K306">
        <v>1300</v>
      </c>
      <c r="N306" t="s">
        <v>37</v>
      </c>
      <c r="Q306">
        <v>5</v>
      </c>
      <c r="W306" t="s">
        <v>648</v>
      </c>
      <c r="X306" t="s">
        <v>40</v>
      </c>
      <c r="Y306" t="s">
        <v>40</v>
      </c>
      <c r="AA306">
        <f t="shared" si="20"/>
        <v>23.65</v>
      </c>
      <c r="AB306">
        <v>74.3</v>
      </c>
      <c r="AC306">
        <f t="shared" si="22"/>
        <v>0.43357827070539789</v>
      </c>
      <c r="AI306" t="e">
        <f>IF(Y306="Yes",NA(),#REF!)</f>
        <v>#N/A</v>
      </c>
      <c r="AJ306" t="e">
        <f>IF(Y306="Yes",NA(),#REF!)</f>
        <v>#N/A</v>
      </c>
      <c r="AK306" t="e">
        <f>IF(Y306="Yes",NA(),#REF!)</f>
        <v>#N/A</v>
      </c>
    </row>
    <row r="307" spans="1:37" x14ac:dyDescent="0.35">
      <c r="A307" s="12">
        <v>307</v>
      </c>
      <c r="C307">
        <v>31</v>
      </c>
      <c r="E307" s="2">
        <v>1</v>
      </c>
      <c r="F307" s="2">
        <v>1</v>
      </c>
      <c r="G307" t="s">
        <v>76</v>
      </c>
      <c r="H307" t="s">
        <v>181</v>
      </c>
      <c r="J307" s="14">
        <f t="shared" si="18"/>
        <v>133.69999999999999</v>
      </c>
      <c r="K307">
        <v>1300</v>
      </c>
      <c r="N307" t="s">
        <v>54</v>
      </c>
      <c r="Q307" t="s">
        <v>38</v>
      </c>
      <c r="W307" t="s">
        <v>649</v>
      </c>
      <c r="X307" t="s">
        <v>40</v>
      </c>
      <c r="Y307" t="s">
        <v>40</v>
      </c>
      <c r="AA307">
        <f t="shared" si="20"/>
        <v>13.37</v>
      </c>
      <c r="AB307">
        <v>42</v>
      </c>
      <c r="AC307">
        <f t="shared" si="22"/>
        <v>0.1385442360233099</v>
      </c>
      <c r="AI307" t="e">
        <f>IF(Y307="Yes",NA(),#REF!)</f>
        <v>#N/A</v>
      </c>
      <c r="AJ307" t="e">
        <f>IF(Y307="Yes",NA(),#REF!)</f>
        <v>#N/A</v>
      </c>
      <c r="AK307" t="e">
        <f>IF(Y307="Yes",NA(),#REF!)</f>
        <v>#N/A</v>
      </c>
    </row>
    <row r="308" spans="1:37" x14ac:dyDescent="0.35">
      <c r="A308" s="12">
        <v>308</v>
      </c>
      <c r="C308">
        <v>31</v>
      </c>
      <c r="E308" s="23" t="s">
        <v>92</v>
      </c>
      <c r="F308" s="23" t="s">
        <v>610</v>
      </c>
      <c r="G308" t="s">
        <v>47</v>
      </c>
      <c r="H308" t="s">
        <v>189</v>
      </c>
      <c r="J308" s="14">
        <f t="shared" si="18"/>
        <v>122.89999999999999</v>
      </c>
      <c r="K308">
        <v>1300</v>
      </c>
      <c r="N308" t="s">
        <v>54</v>
      </c>
      <c r="Q308" t="s">
        <v>55</v>
      </c>
      <c r="W308" t="s">
        <v>650</v>
      </c>
      <c r="X308" t="s">
        <v>40</v>
      </c>
      <c r="Y308" t="s">
        <v>40</v>
      </c>
      <c r="AA308">
        <f t="shared" si="20"/>
        <v>12.29</v>
      </c>
      <c r="AB308" s="26">
        <v>38.6</v>
      </c>
      <c r="AC308">
        <f t="shared" si="22"/>
        <v>0.11702118475356622</v>
      </c>
      <c r="AI308" t="e">
        <f>IF(Y308="Yes",NA(),#REF!)</f>
        <v>#N/A</v>
      </c>
      <c r="AJ308" t="e">
        <f>IF(Y308="Yes",NA(),#REF!)</f>
        <v>#N/A</v>
      </c>
      <c r="AK308" t="e">
        <f>IF(Y308="Yes",NA(),#REF!)</f>
        <v>#N/A</v>
      </c>
    </row>
    <row r="309" spans="1:37" x14ac:dyDescent="0.35">
      <c r="A309" s="12">
        <v>309</v>
      </c>
      <c r="C309">
        <v>32</v>
      </c>
      <c r="E309" s="2" t="s">
        <v>174</v>
      </c>
      <c r="F309" s="2">
        <v>8</v>
      </c>
      <c r="G309" t="s">
        <v>47</v>
      </c>
      <c r="H309" t="s">
        <v>35</v>
      </c>
      <c r="J309" s="14">
        <f t="shared" si="18"/>
        <v>179.8</v>
      </c>
      <c r="K309">
        <v>1300</v>
      </c>
      <c r="N309" t="s">
        <v>54</v>
      </c>
      <c r="Q309" t="s">
        <v>38</v>
      </c>
      <c r="W309" t="s">
        <v>651</v>
      </c>
      <c r="X309" t="s">
        <v>40</v>
      </c>
      <c r="Y309" t="s">
        <v>40</v>
      </c>
      <c r="Z309" t="s">
        <v>652</v>
      </c>
      <c r="AA309">
        <f t="shared" si="20"/>
        <v>17.98</v>
      </c>
      <c r="AB309">
        <v>56.5</v>
      </c>
      <c r="AC309">
        <f t="shared" si="22"/>
        <v>0.25071872871055045</v>
      </c>
      <c r="AI309" t="e">
        <f>IF(Y309="Yes",NA(),#REF!)</f>
        <v>#N/A</v>
      </c>
      <c r="AJ309" t="e">
        <f>IF(Y309="Yes",NA(),#REF!)</f>
        <v>#N/A</v>
      </c>
      <c r="AK309" t="e">
        <f>IF(Y309="Yes",NA(),#REF!)</f>
        <v>#N/A</v>
      </c>
    </row>
    <row r="310" spans="1:37" x14ac:dyDescent="0.35">
      <c r="A310" s="12">
        <v>310</v>
      </c>
      <c r="C310">
        <v>32</v>
      </c>
      <c r="E310" s="2" t="s">
        <v>111</v>
      </c>
      <c r="F310" s="2" t="s">
        <v>51</v>
      </c>
      <c r="G310" t="s">
        <v>70</v>
      </c>
      <c r="H310" t="s">
        <v>161</v>
      </c>
      <c r="J310" s="14">
        <f t="shared" si="18"/>
        <v>133.1</v>
      </c>
      <c r="K310">
        <v>1300</v>
      </c>
      <c r="N310" t="s">
        <v>54</v>
      </c>
      <c r="Q310" t="s">
        <v>38</v>
      </c>
      <c r="W310" t="s">
        <v>653</v>
      </c>
      <c r="X310" t="s">
        <v>40</v>
      </c>
      <c r="Y310" t="s">
        <v>426</v>
      </c>
      <c r="Z310" t="s">
        <v>654</v>
      </c>
      <c r="AA310">
        <f t="shared" si="20"/>
        <v>13.31</v>
      </c>
      <c r="AB310">
        <v>41.8</v>
      </c>
      <c r="AC310">
        <f t="shared" si="22"/>
        <v>0.13722790870145574</v>
      </c>
      <c r="AI310" t="e">
        <f>IF(Y310="Yes",NA(),#REF!)</f>
        <v>#N/A</v>
      </c>
      <c r="AJ310" t="e">
        <f>IF(Y310="Yes",NA(),#REF!)</f>
        <v>#N/A</v>
      </c>
      <c r="AK310" t="e">
        <f>IF(Y310="Yes",NA(),#REF!)</f>
        <v>#N/A</v>
      </c>
    </row>
    <row r="311" spans="1:37" x14ac:dyDescent="0.35">
      <c r="A311" s="12">
        <v>311</v>
      </c>
      <c r="C311">
        <v>32</v>
      </c>
      <c r="E311" s="2" t="s">
        <v>121</v>
      </c>
      <c r="F311" s="2">
        <v>8</v>
      </c>
      <c r="G311" t="s">
        <v>66</v>
      </c>
      <c r="H311" t="s">
        <v>67</v>
      </c>
      <c r="J311" s="14">
        <f t="shared" si="18"/>
        <v>180.5</v>
      </c>
      <c r="K311">
        <v>1300</v>
      </c>
      <c r="N311" t="s">
        <v>54</v>
      </c>
      <c r="Q311" t="s">
        <v>38</v>
      </c>
      <c r="W311" t="s">
        <v>655</v>
      </c>
      <c r="X311" t="s">
        <v>40</v>
      </c>
      <c r="Y311" t="s">
        <v>40</v>
      </c>
      <c r="AA311">
        <f t="shared" si="20"/>
        <v>18.05</v>
      </c>
      <c r="AB311" s="26">
        <v>56.7</v>
      </c>
      <c r="AC311">
        <f t="shared" si="22"/>
        <v>0.25249687015248229</v>
      </c>
      <c r="AI311" t="e">
        <f>IF(Y311="Yes",NA(),#REF!)</f>
        <v>#N/A</v>
      </c>
      <c r="AJ311" t="e">
        <f>IF(Y311="Yes",NA(),#REF!)</f>
        <v>#N/A</v>
      </c>
      <c r="AK311" t="e">
        <f>IF(Y311="Yes",NA(),#REF!)</f>
        <v>#N/A</v>
      </c>
    </row>
    <row r="312" spans="1:37" x14ac:dyDescent="0.35">
      <c r="A312" s="12">
        <v>312</v>
      </c>
      <c r="C312">
        <v>32</v>
      </c>
      <c r="E312" s="2" t="s">
        <v>58</v>
      </c>
      <c r="F312" s="2">
        <v>8</v>
      </c>
      <c r="G312" t="s">
        <v>34</v>
      </c>
      <c r="H312" t="s">
        <v>35</v>
      </c>
      <c r="J312" s="14">
        <f t="shared" ref="J312:J375" si="23">ROUND(AB312/PI(), 2)*10</f>
        <v>233</v>
      </c>
      <c r="K312">
        <v>1300</v>
      </c>
      <c r="N312" t="s">
        <v>37</v>
      </c>
      <c r="Q312">
        <v>4</v>
      </c>
      <c r="W312" t="s">
        <v>656</v>
      </c>
      <c r="X312" t="s">
        <v>40</v>
      </c>
      <c r="Y312" t="s">
        <v>40</v>
      </c>
      <c r="Z312" t="s">
        <v>657</v>
      </c>
      <c r="AA312">
        <f t="shared" si="20"/>
        <v>23.3</v>
      </c>
      <c r="AB312">
        <v>73.2</v>
      </c>
      <c r="AC312">
        <f t="shared" si="22"/>
        <v>0.42083518550427435</v>
      </c>
      <c r="AI312" t="e">
        <f>IF(Y312="Yes",NA(),#REF!)</f>
        <v>#N/A</v>
      </c>
      <c r="AJ312" t="e">
        <f>IF(Y312="Yes",NA(),#REF!)</f>
        <v>#N/A</v>
      </c>
      <c r="AK312" t="e">
        <f>IF(Y312="Yes",NA(),#REF!)</f>
        <v>#N/A</v>
      </c>
    </row>
    <row r="313" spans="1:37" x14ac:dyDescent="0.35">
      <c r="A313" s="12">
        <v>313</v>
      </c>
      <c r="C313">
        <v>32</v>
      </c>
      <c r="E313" s="2" t="s">
        <v>52</v>
      </c>
      <c r="F313" s="2">
        <v>6</v>
      </c>
      <c r="G313" t="s">
        <v>63</v>
      </c>
      <c r="H313" t="s">
        <v>64</v>
      </c>
      <c r="J313" s="14">
        <f t="shared" si="23"/>
        <v>116.19999999999999</v>
      </c>
      <c r="K313">
        <v>1300</v>
      </c>
      <c r="N313" t="s">
        <v>54</v>
      </c>
      <c r="Q313">
        <v>1</v>
      </c>
      <c r="W313" t="s">
        <v>658</v>
      </c>
      <c r="AA313">
        <f t="shared" si="20"/>
        <v>11.62</v>
      </c>
      <c r="AB313" s="26">
        <v>36.5</v>
      </c>
      <c r="AC313">
        <f t="shared" si="22"/>
        <v>0.10463467031862504</v>
      </c>
      <c r="AI313" t="e">
        <f>IF(Y313="Yes",NA(),#REF!)</f>
        <v>#REF!</v>
      </c>
      <c r="AJ313" t="e">
        <f>IF(Y313="Yes",NA(),#REF!)</f>
        <v>#REF!</v>
      </c>
      <c r="AK313" t="e">
        <f>IF(Y313="Yes",NA(),#REF!)</f>
        <v>#REF!</v>
      </c>
    </row>
    <row r="314" spans="1:37" x14ac:dyDescent="0.35">
      <c r="A314" s="12">
        <v>314</v>
      </c>
      <c r="C314">
        <v>32</v>
      </c>
      <c r="E314" s="2" t="s">
        <v>51</v>
      </c>
      <c r="F314" s="2" t="s">
        <v>174</v>
      </c>
      <c r="G314" t="s">
        <v>47</v>
      </c>
      <c r="H314" t="s">
        <v>35</v>
      </c>
      <c r="J314" s="14">
        <f t="shared" si="23"/>
        <v>162.30000000000001</v>
      </c>
      <c r="K314">
        <v>1300</v>
      </c>
      <c r="N314" t="s">
        <v>54</v>
      </c>
      <c r="Q314" t="s">
        <v>38</v>
      </c>
      <c r="W314" t="s">
        <v>659</v>
      </c>
      <c r="X314" t="s">
        <v>40</v>
      </c>
      <c r="Y314" t="s">
        <v>40</v>
      </c>
      <c r="Z314" t="s">
        <v>660</v>
      </c>
      <c r="AA314">
        <f t="shared" si="20"/>
        <v>16.23</v>
      </c>
      <c r="AB314">
        <v>51</v>
      </c>
      <c r="AC314">
        <f t="shared" si="22"/>
        <v>0.2042820622996763</v>
      </c>
      <c r="AI314" t="e">
        <f>IF(Y314="Yes",NA(),#REF!)</f>
        <v>#N/A</v>
      </c>
      <c r="AJ314" t="e">
        <f>IF(Y314="Yes",NA(),#REF!)</f>
        <v>#N/A</v>
      </c>
      <c r="AK314" t="e">
        <f>IF(Y314="Yes",NA(),#REF!)</f>
        <v>#N/A</v>
      </c>
    </row>
    <row r="315" spans="1:37" x14ac:dyDescent="0.35">
      <c r="A315" s="12">
        <v>315</v>
      </c>
      <c r="C315">
        <v>32</v>
      </c>
      <c r="E315" s="2">
        <v>7</v>
      </c>
      <c r="F315" s="2" t="s">
        <v>92</v>
      </c>
      <c r="G315" t="s">
        <v>63</v>
      </c>
      <c r="H315" t="s">
        <v>64</v>
      </c>
      <c r="J315" s="14">
        <f t="shared" si="23"/>
        <v>121</v>
      </c>
      <c r="K315">
        <v>1300</v>
      </c>
      <c r="N315" t="s">
        <v>61</v>
      </c>
      <c r="Q315" t="s">
        <v>55</v>
      </c>
      <c r="W315" t="s">
        <v>661</v>
      </c>
      <c r="AA315">
        <f t="shared" si="20"/>
        <v>12.1</v>
      </c>
      <c r="AB315" s="26">
        <v>38</v>
      </c>
      <c r="AC315">
        <f t="shared" si="22"/>
        <v>0.11341149479459152</v>
      </c>
      <c r="AI315" t="e">
        <f>IF(Y315="Yes",NA(),#REF!)</f>
        <v>#REF!</v>
      </c>
      <c r="AJ315" t="e">
        <f>IF(Y315="Yes",NA(),#REF!)</f>
        <v>#REF!</v>
      </c>
      <c r="AK315" t="e">
        <f>IF(Y315="Yes",NA(),#REF!)</f>
        <v>#REF!</v>
      </c>
    </row>
    <row r="316" spans="1:37" ht="21" customHeight="1" x14ac:dyDescent="0.35">
      <c r="A316" s="12">
        <v>316</v>
      </c>
      <c r="C316">
        <v>32</v>
      </c>
      <c r="E316" s="23">
        <v>7</v>
      </c>
      <c r="F316" s="23">
        <v>2</v>
      </c>
      <c r="G316" t="s">
        <v>231</v>
      </c>
      <c r="H316" t="s">
        <v>232</v>
      </c>
      <c r="J316" s="14">
        <f t="shared" si="23"/>
        <v>197.39999999999998</v>
      </c>
      <c r="K316">
        <v>1300</v>
      </c>
      <c r="N316" t="s">
        <v>54</v>
      </c>
      <c r="Q316" t="s">
        <v>38</v>
      </c>
      <c r="W316" t="s">
        <v>662</v>
      </c>
      <c r="X316" t="s">
        <v>40</v>
      </c>
      <c r="Y316" t="s">
        <v>40</v>
      </c>
      <c r="AA316">
        <f t="shared" si="20"/>
        <v>19.739999999999998</v>
      </c>
      <c r="AB316" s="26">
        <v>62</v>
      </c>
      <c r="AC316">
        <f t="shared" si="22"/>
        <v>0.30190705400997914</v>
      </c>
      <c r="AI316" t="e">
        <f>IF(Y316="Yes",NA(),#REF!)</f>
        <v>#N/A</v>
      </c>
      <c r="AJ316" t="e">
        <f>IF(Y316="Yes",NA(),#REF!)</f>
        <v>#N/A</v>
      </c>
      <c r="AK316" t="e">
        <f>IF(Y316="Yes",NA(),#REF!)</f>
        <v>#N/A</v>
      </c>
    </row>
    <row r="317" spans="1:37" x14ac:dyDescent="0.35">
      <c r="A317" s="12">
        <v>317</v>
      </c>
      <c r="C317">
        <v>32</v>
      </c>
      <c r="E317" s="2" t="s">
        <v>610</v>
      </c>
      <c r="F317" s="2" t="s">
        <v>174</v>
      </c>
      <c r="G317" t="s">
        <v>59</v>
      </c>
      <c r="H317" t="s">
        <v>451</v>
      </c>
      <c r="J317" s="14">
        <f t="shared" si="23"/>
        <v>112</v>
      </c>
      <c r="K317">
        <v>1300</v>
      </c>
      <c r="N317" t="s">
        <v>54</v>
      </c>
      <c r="Q317">
        <v>1</v>
      </c>
      <c r="W317" t="s">
        <v>663</v>
      </c>
      <c r="X317" t="s">
        <v>40</v>
      </c>
      <c r="Y317" t="s">
        <v>40</v>
      </c>
      <c r="Z317" t="s">
        <v>664</v>
      </c>
      <c r="AA317">
        <f t="shared" si="20"/>
        <v>11.2</v>
      </c>
      <c r="AB317">
        <v>35.200000000000003</v>
      </c>
      <c r="AC317">
        <f t="shared" si="22"/>
        <v>9.731397403759745E-2</v>
      </c>
      <c r="AI317" t="e">
        <f>IF(Y317="Yes",NA(),#REF!)</f>
        <v>#N/A</v>
      </c>
      <c r="AJ317" t="e">
        <f>IF(Y317="Yes",NA(),#REF!)</f>
        <v>#N/A</v>
      </c>
      <c r="AK317" t="e">
        <f>IF(Y317="Yes",NA(),#REF!)</f>
        <v>#N/A</v>
      </c>
    </row>
    <row r="318" spans="1:37" x14ac:dyDescent="0.35">
      <c r="A318" s="12">
        <v>318</v>
      </c>
      <c r="C318">
        <v>33</v>
      </c>
      <c r="E318" s="2">
        <v>4</v>
      </c>
      <c r="F318" s="2">
        <v>9</v>
      </c>
      <c r="G318" t="s">
        <v>145</v>
      </c>
      <c r="H318" t="s">
        <v>393</v>
      </c>
      <c r="J318" s="14">
        <f t="shared" si="23"/>
        <v>117.5</v>
      </c>
      <c r="K318">
        <v>1300</v>
      </c>
      <c r="N318" t="s">
        <v>54</v>
      </c>
      <c r="Q318" t="s">
        <v>55</v>
      </c>
      <c r="W318" t="s">
        <v>665</v>
      </c>
      <c r="X318" t="s">
        <v>40</v>
      </c>
      <c r="Y318" t="s">
        <v>40</v>
      </c>
      <c r="AA318">
        <f t="shared" si="20"/>
        <v>11.75</v>
      </c>
      <c r="AB318">
        <v>36.9</v>
      </c>
      <c r="AC318">
        <f t="shared" si="22"/>
        <v>0.10694059932635996</v>
      </c>
      <c r="AI318" t="e">
        <f>IF(Y318="Yes",NA(),#REF!)</f>
        <v>#N/A</v>
      </c>
      <c r="AJ318" t="e">
        <f>IF(Y318="Yes",NA(),#REF!)</f>
        <v>#N/A</v>
      </c>
      <c r="AK318" t="e">
        <f>IF(Y318="Yes",NA(),#REF!)</f>
        <v>#N/A</v>
      </c>
    </row>
    <row r="319" spans="1:37" x14ac:dyDescent="0.35">
      <c r="A319" s="12">
        <v>319</v>
      </c>
      <c r="C319">
        <v>33</v>
      </c>
      <c r="E319" s="2" t="s">
        <v>121</v>
      </c>
      <c r="F319" s="2" t="s">
        <v>666</v>
      </c>
      <c r="G319" t="s">
        <v>89</v>
      </c>
      <c r="H319" t="s">
        <v>90</v>
      </c>
      <c r="J319" s="14">
        <f t="shared" si="23"/>
        <v>156.6</v>
      </c>
      <c r="K319">
        <v>1300</v>
      </c>
      <c r="N319" t="s">
        <v>54</v>
      </c>
      <c r="Q319" t="s">
        <v>55</v>
      </c>
      <c r="W319" t="s">
        <v>667</v>
      </c>
      <c r="X319" t="s">
        <v>40</v>
      </c>
      <c r="Y319" t="s">
        <v>40</v>
      </c>
      <c r="Z319" t="s">
        <v>668</v>
      </c>
      <c r="AA319">
        <f t="shared" si="20"/>
        <v>15.66</v>
      </c>
      <c r="AB319">
        <v>49.2</v>
      </c>
      <c r="AC319">
        <f t="shared" si="22"/>
        <v>0.19011662102463994</v>
      </c>
      <c r="AI319" t="e">
        <f>IF(Y319="Yes",NA(),#REF!)</f>
        <v>#N/A</v>
      </c>
      <c r="AJ319" t="e">
        <f>IF(Y319="Yes",NA(),#REF!)</f>
        <v>#N/A</v>
      </c>
      <c r="AK319" t="e">
        <f>IF(Y319="Yes",NA(),#REF!)</f>
        <v>#N/A</v>
      </c>
    </row>
    <row r="320" spans="1:37" x14ac:dyDescent="0.35">
      <c r="A320" s="12">
        <v>320</v>
      </c>
      <c r="C320">
        <v>33</v>
      </c>
      <c r="E320" s="2">
        <v>9.5</v>
      </c>
      <c r="F320" s="2">
        <v>1</v>
      </c>
      <c r="G320" t="s">
        <v>63</v>
      </c>
      <c r="H320" t="s">
        <v>64</v>
      </c>
      <c r="J320" s="14">
        <f t="shared" si="23"/>
        <v>117.8</v>
      </c>
      <c r="K320">
        <v>1300</v>
      </c>
      <c r="N320" t="s">
        <v>54</v>
      </c>
      <c r="Q320" t="s">
        <v>55</v>
      </c>
      <c r="W320" t="s">
        <v>669</v>
      </c>
      <c r="AA320">
        <f t="shared" si="20"/>
        <v>11.78</v>
      </c>
      <c r="AB320" s="26">
        <v>37</v>
      </c>
      <c r="AC320">
        <f t="shared" si="22"/>
        <v>0.10752100856911068</v>
      </c>
      <c r="AI320" t="e">
        <f>IF(Y320="Yes",NA(),#REF!)</f>
        <v>#REF!</v>
      </c>
      <c r="AJ320" t="e">
        <f>IF(Y320="Yes",NA(),#REF!)</f>
        <v>#REF!</v>
      </c>
      <c r="AK320" t="e">
        <f>IF(Y320="Yes",NA(),#REF!)</f>
        <v>#REF!</v>
      </c>
    </row>
    <row r="321" spans="1:37" x14ac:dyDescent="0.35">
      <c r="A321" s="12">
        <v>321</v>
      </c>
      <c r="C321">
        <v>33</v>
      </c>
      <c r="E321" s="2" t="s">
        <v>75</v>
      </c>
      <c r="F321" s="2">
        <v>2</v>
      </c>
      <c r="G321" t="s">
        <v>670</v>
      </c>
      <c r="H321" t="s">
        <v>671</v>
      </c>
      <c r="J321" s="14">
        <f t="shared" si="23"/>
        <v>163</v>
      </c>
      <c r="K321">
        <v>1300</v>
      </c>
      <c r="N321" t="s">
        <v>54</v>
      </c>
      <c r="Q321" t="s">
        <v>38</v>
      </c>
      <c r="W321" t="s">
        <v>672</v>
      </c>
      <c r="X321" t="s">
        <v>40</v>
      </c>
      <c r="Y321" t="s">
        <v>40</v>
      </c>
      <c r="AA321">
        <f t="shared" si="20"/>
        <v>16.3</v>
      </c>
      <c r="AB321">
        <v>51.2</v>
      </c>
      <c r="AC321">
        <f t="shared" si="22"/>
        <v>0.2058874161456607</v>
      </c>
      <c r="AI321" t="e">
        <f>IF(Y321="Yes",NA(),#REF!)</f>
        <v>#N/A</v>
      </c>
      <c r="AJ321" t="e">
        <f>IF(Y321="Yes",NA(),#REF!)</f>
        <v>#N/A</v>
      </c>
      <c r="AK321" t="e">
        <f>IF(Y321="Yes",NA(),#REF!)</f>
        <v>#N/A</v>
      </c>
    </row>
    <row r="322" spans="1:37" x14ac:dyDescent="0.35">
      <c r="A322" s="12">
        <v>322</v>
      </c>
      <c r="C322">
        <v>33</v>
      </c>
      <c r="E322" s="2" t="s">
        <v>75</v>
      </c>
      <c r="F322" s="2" t="s">
        <v>201</v>
      </c>
      <c r="G322" t="s">
        <v>63</v>
      </c>
      <c r="H322" t="s">
        <v>64</v>
      </c>
      <c r="J322" s="14">
        <f t="shared" si="23"/>
        <v>103.5</v>
      </c>
      <c r="K322">
        <v>1300</v>
      </c>
      <c r="N322" t="s">
        <v>54</v>
      </c>
      <c r="Q322">
        <v>1</v>
      </c>
      <c r="W322" t="s">
        <v>673</v>
      </c>
      <c r="AA322">
        <f t="shared" si="20"/>
        <v>10.35</v>
      </c>
      <c r="AB322" s="26">
        <v>32.5</v>
      </c>
      <c r="AC322">
        <f t="shared" si="22"/>
        <v>8.2957681008855463E-2</v>
      </c>
      <c r="AI322" t="e">
        <f>IF(Y322="Yes",NA(),#REF!)</f>
        <v>#REF!</v>
      </c>
      <c r="AJ322" t="e">
        <f>IF(Y322="Yes",NA(),#REF!)</f>
        <v>#REF!</v>
      </c>
      <c r="AK322" t="e">
        <f>IF(Y322="Yes",NA(),#REF!)</f>
        <v>#REF!</v>
      </c>
    </row>
    <row r="323" spans="1:37" x14ac:dyDescent="0.35">
      <c r="A323" s="12">
        <v>323</v>
      </c>
      <c r="C323">
        <v>33</v>
      </c>
      <c r="E323" s="2" t="s">
        <v>75</v>
      </c>
      <c r="F323" s="2">
        <v>4</v>
      </c>
      <c r="G323" t="s">
        <v>404</v>
      </c>
      <c r="H323" t="s">
        <v>409</v>
      </c>
      <c r="J323" s="14">
        <f t="shared" si="23"/>
        <v>299.5</v>
      </c>
      <c r="K323">
        <v>1300</v>
      </c>
      <c r="N323" t="s">
        <v>246</v>
      </c>
      <c r="Q323">
        <v>4</v>
      </c>
      <c r="W323" t="s">
        <v>674</v>
      </c>
      <c r="X323" t="s">
        <v>40</v>
      </c>
      <c r="Y323" t="s">
        <v>40</v>
      </c>
      <c r="Z323" t="s">
        <v>675</v>
      </c>
      <c r="AA323">
        <f t="shared" ref="AA323:AA386" si="24">ROUND(AB323/PI(), 2)</f>
        <v>29.95</v>
      </c>
      <c r="AB323">
        <v>94.1</v>
      </c>
      <c r="AC323">
        <f t="shared" si="22"/>
        <v>0.69545515112333589</v>
      </c>
      <c r="AI323" t="e">
        <f>IF(Y323="Yes",NA(),#REF!)</f>
        <v>#N/A</v>
      </c>
      <c r="AJ323" t="e">
        <f>IF(Y323="Yes",NA(),#REF!)</f>
        <v>#N/A</v>
      </c>
      <c r="AK323" t="e">
        <f>IF(Y323="Yes",NA(),#REF!)</f>
        <v>#N/A</v>
      </c>
    </row>
    <row r="324" spans="1:37" x14ac:dyDescent="0.35">
      <c r="A324" s="12">
        <v>324</v>
      </c>
      <c r="C324">
        <v>33</v>
      </c>
      <c r="E324" s="2">
        <v>2</v>
      </c>
      <c r="F324" s="2">
        <v>6</v>
      </c>
      <c r="G324" t="s">
        <v>34</v>
      </c>
      <c r="H324" t="s">
        <v>35</v>
      </c>
      <c r="J324" s="14">
        <f t="shared" si="23"/>
        <v>106</v>
      </c>
      <c r="K324">
        <v>1300</v>
      </c>
      <c r="N324" t="s">
        <v>54</v>
      </c>
      <c r="Q324">
        <v>1</v>
      </c>
      <c r="W324" t="s">
        <v>676</v>
      </c>
      <c r="X324" t="s">
        <v>40</v>
      </c>
      <c r="Y324" t="s">
        <v>40</v>
      </c>
      <c r="Z324" t="s">
        <v>677</v>
      </c>
      <c r="AA324">
        <f t="shared" si="24"/>
        <v>10.6</v>
      </c>
      <c r="AB324">
        <v>33.299999999999997</v>
      </c>
      <c r="AC324">
        <f t="shared" ref="AC324:AC355" si="25">PI()*(AB324/2)*(AB324/2)/10000</f>
        <v>8.7092016940979636E-2</v>
      </c>
      <c r="AI324" t="e">
        <f>IF(Y324="Yes",NA(),#REF!)</f>
        <v>#N/A</v>
      </c>
      <c r="AJ324" t="e">
        <f>IF(Y324="Yes",NA(),#REF!)</f>
        <v>#N/A</v>
      </c>
      <c r="AK324" t="e">
        <f>IF(Y324="Yes",NA(),#REF!)</f>
        <v>#N/A</v>
      </c>
    </row>
    <row r="325" spans="1:37" x14ac:dyDescent="0.35">
      <c r="A325" s="12">
        <v>325</v>
      </c>
      <c r="C325">
        <v>33</v>
      </c>
      <c r="E325" s="2" t="s">
        <v>678</v>
      </c>
      <c r="F325" s="2">
        <v>6</v>
      </c>
      <c r="G325" t="s">
        <v>63</v>
      </c>
      <c r="H325" t="s">
        <v>64</v>
      </c>
      <c r="J325" s="14">
        <f t="shared" si="23"/>
        <v>128.9</v>
      </c>
      <c r="K325">
        <v>1300</v>
      </c>
      <c r="N325" t="s">
        <v>252</v>
      </c>
      <c r="Q325">
        <v>4</v>
      </c>
      <c r="W325" t="s">
        <v>679</v>
      </c>
      <c r="AA325">
        <f t="shared" si="24"/>
        <v>12.89</v>
      </c>
      <c r="AB325" s="26">
        <v>40.5</v>
      </c>
      <c r="AC325">
        <f t="shared" si="25"/>
        <v>0.12882493375126644</v>
      </c>
      <c r="AI325" t="e">
        <f>IF(Y325="Yes",NA(),#REF!)</f>
        <v>#REF!</v>
      </c>
      <c r="AJ325" t="e">
        <f>IF(Y325="Yes",NA(),#REF!)</f>
        <v>#REF!</v>
      </c>
      <c r="AK325" t="e">
        <f>IF(Y325="Yes",NA(),#REF!)</f>
        <v>#REF!</v>
      </c>
    </row>
    <row r="326" spans="1:37" x14ac:dyDescent="0.35">
      <c r="A326" s="12">
        <v>326</v>
      </c>
      <c r="C326">
        <v>33</v>
      </c>
      <c r="E326" s="2" t="s">
        <v>602</v>
      </c>
      <c r="F326" s="2">
        <v>2</v>
      </c>
      <c r="G326" t="s">
        <v>34</v>
      </c>
      <c r="H326" t="s">
        <v>35</v>
      </c>
      <c r="J326" s="14">
        <f t="shared" si="23"/>
        <v>139.4</v>
      </c>
      <c r="K326">
        <v>1300</v>
      </c>
      <c r="N326" t="s">
        <v>54</v>
      </c>
      <c r="Q326" t="s">
        <v>38</v>
      </c>
      <c r="W326" t="s">
        <v>680</v>
      </c>
      <c r="X326" t="s">
        <v>40</v>
      </c>
      <c r="Y326" t="s">
        <v>40</v>
      </c>
      <c r="AA326">
        <f t="shared" si="24"/>
        <v>13.94</v>
      </c>
      <c r="AB326">
        <v>43.8</v>
      </c>
      <c r="AC326">
        <f t="shared" si="25"/>
        <v>0.15067392525882004</v>
      </c>
      <c r="AI326" t="e">
        <f>IF(Y326="Yes",NA(),#REF!)</f>
        <v>#N/A</v>
      </c>
      <c r="AJ326" t="e">
        <f>IF(Y326="Yes",NA(),#REF!)</f>
        <v>#N/A</v>
      </c>
      <c r="AK326" t="e">
        <f>IF(Y326="Yes",NA(),#REF!)</f>
        <v>#N/A</v>
      </c>
    </row>
    <row r="327" spans="1:37" x14ac:dyDescent="0.35">
      <c r="A327" s="12">
        <v>327</v>
      </c>
      <c r="C327">
        <v>33</v>
      </c>
      <c r="E327" s="2">
        <v>3</v>
      </c>
      <c r="F327" s="2" t="s">
        <v>92</v>
      </c>
      <c r="G327" t="s">
        <v>89</v>
      </c>
      <c r="H327" t="s">
        <v>90</v>
      </c>
      <c r="J327" s="14">
        <f t="shared" si="23"/>
        <v>135.6</v>
      </c>
      <c r="K327">
        <v>1300</v>
      </c>
      <c r="N327" t="s">
        <v>54</v>
      </c>
      <c r="Q327" t="s">
        <v>55</v>
      </c>
      <c r="W327" t="s">
        <v>681</v>
      </c>
      <c r="X327" t="s">
        <v>40</v>
      </c>
      <c r="Y327" t="s">
        <v>40</v>
      </c>
      <c r="Z327" t="s">
        <v>682</v>
      </c>
      <c r="AA327">
        <f t="shared" si="24"/>
        <v>13.56</v>
      </c>
      <c r="AB327">
        <v>42.6</v>
      </c>
      <c r="AC327">
        <f t="shared" si="25"/>
        <v>0.14253091710071536</v>
      </c>
      <c r="AI327" t="e">
        <f>IF(Y327="Yes",NA(),#REF!)</f>
        <v>#N/A</v>
      </c>
      <c r="AJ327" t="e">
        <f>IF(Y327="Yes",NA(),#REF!)</f>
        <v>#N/A</v>
      </c>
      <c r="AK327" t="e">
        <f>IF(Y327="Yes",NA(),#REF!)</f>
        <v>#N/A</v>
      </c>
    </row>
    <row r="328" spans="1:37" x14ac:dyDescent="0.35">
      <c r="A328" s="12">
        <v>328</v>
      </c>
      <c r="C328">
        <v>33</v>
      </c>
      <c r="E328" s="2" t="s">
        <v>94</v>
      </c>
      <c r="F328" s="2">
        <v>1</v>
      </c>
      <c r="G328" t="s">
        <v>66</v>
      </c>
      <c r="H328" t="s">
        <v>67</v>
      </c>
      <c r="J328" s="14">
        <f t="shared" si="23"/>
        <v>111.1</v>
      </c>
      <c r="K328">
        <v>1300</v>
      </c>
      <c r="N328" t="s">
        <v>54</v>
      </c>
      <c r="Q328">
        <v>1</v>
      </c>
      <c r="W328" t="s">
        <v>683</v>
      </c>
      <c r="X328" t="s">
        <v>40</v>
      </c>
      <c r="Y328" t="s">
        <v>40</v>
      </c>
      <c r="AA328">
        <f t="shared" si="24"/>
        <v>11.11</v>
      </c>
      <c r="AB328" s="26">
        <v>34.9</v>
      </c>
      <c r="AC328">
        <f t="shared" si="25"/>
        <v>9.5662281699972582E-2</v>
      </c>
      <c r="AI328" t="e">
        <f>IF(Y328="Yes",NA(),#REF!)</f>
        <v>#N/A</v>
      </c>
      <c r="AJ328" t="e">
        <f>IF(Y328="Yes",NA(),#REF!)</f>
        <v>#N/A</v>
      </c>
      <c r="AK328" t="e">
        <f>IF(Y328="Yes",NA(),#REF!)</f>
        <v>#N/A</v>
      </c>
    </row>
    <row r="329" spans="1:37" x14ac:dyDescent="0.35">
      <c r="A329" s="12">
        <v>329</v>
      </c>
      <c r="C329">
        <v>33</v>
      </c>
      <c r="E329" s="2">
        <v>0</v>
      </c>
      <c r="F329" s="2" t="s">
        <v>92</v>
      </c>
      <c r="G329" t="s">
        <v>59</v>
      </c>
      <c r="H329" t="s">
        <v>461</v>
      </c>
      <c r="J329" s="14">
        <f t="shared" si="23"/>
        <v>514.09999999999991</v>
      </c>
      <c r="K329">
        <v>1300</v>
      </c>
      <c r="N329" t="s">
        <v>486</v>
      </c>
      <c r="Q329">
        <v>5</v>
      </c>
      <c r="W329" t="s">
        <v>684</v>
      </c>
      <c r="X329" t="s">
        <v>40</v>
      </c>
      <c r="Y329" t="s">
        <v>40</v>
      </c>
      <c r="AA329">
        <f t="shared" si="24"/>
        <v>51.41</v>
      </c>
      <c r="AB329">
        <v>161.5</v>
      </c>
      <c r="AC329">
        <f t="shared" si="25"/>
        <v>2.0484951247273093</v>
      </c>
      <c r="AI329" t="e">
        <f>IF(Y329="Yes",NA(),#REF!)</f>
        <v>#N/A</v>
      </c>
      <c r="AJ329" t="e">
        <f>IF(Y329="Yes",NA(),#REF!)</f>
        <v>#N/A</v>
      </c>
      <c r="AK329" t="e">
        <f>IF(Y329="Yes",NA(),#REF!)</f>
        <v>#N/A</v>
      </c>
    </row>
    <row r="330" spans="1:37" x14ac:dyDescent="0.35">
      <c r="A330" s="12">
        <v>330</v>
      </c>
      <c r="C330">
        <v>34</v>
      </c>
      <c r="E330" s="2">
        <v>2</v>
      </c>
      <c r="F330" s="2">
        <v>6</v>
      </c>
      <c r="G330" t="s">
        <v>495</v>
      </c>
      <c r="H330" t="s">
        <v>496</v>
      </c>
      <c r="J330" s="14">
        <f t="shared" si="23"/>
        <v>102.5</v>
      </c>
      <c r="K330">
        <v>1300</v>
      </c>
      <c r="N330" t="s">
        <v>81</v>
      </c>
      <c r="Q330">
        <v>1</v>
      </c>
      <c r="U330">
        <v>3</v>
      </c>
      <c r="W330" t="s">
        <v>685</v>
      </c>
      <c r="X330" t="s">
        <v>40</v>
      </c>
      <c r="Y330" t="s">
        <v>40</v>
      </c>
      <c r="Z330" t="s">
        <v>686</v>
      </c>
      <c r="AA330">
        <f t="shared" si="24"/>
        <v>10.25</v>
      </c>
      <c r="AB330">
        <v>32.200000000000003</v>
      </c>
      <c r="AC330">
        <f t="shared" si="25"/>
        <v>8.1433223173701039E-2</v>
      </c>
      <c r="AI330" t="e">
        <f>IF(Y330="Yes",NA(),#REF!)</f>
        <v>#N/A</v>
      </c>
      <c r="AJ330" t="e">
        <f>IF(Y330="Yes",NA(),#REF!)</f>
        <v>#N/A</v>
      </c>
      <c r="AK330" t="e">
        <f>IF(Y330="Yes",NA(),#REF!)</f>
        <v>#N/A</v>
      </c>
    </row>
    <row r="331" spans="1:37" x14ac:dyDescent="0.35">
      <c r="A331" s="12">
        <v>331</v>
      </c>
      <c r="C331">
        <v>34</v>
      </c>
      <c r="E331" s="2" t="s">
        <v>33</v>
      </c>
      <c r="F331" s="2">
        <v>7</v>
      </c>
      <c r="G331" t="s">
        <v>333</v>
      </c>
      <c r="H331" t="s">
        <v>687</v>
      </c>
      <c r="J331" s="14">
        <f t="shared" si="23"/>
        <v>147.69999999999999</v>
      </c>
      <c r="K331">
        <v>1300</v>
      </c>
      <c r="N331" t="s">
        <v>54</v>
      </c>
      <c r="Q331" t="s">
        <v>259</v>
      </c>
      <c r="U331">
        <v>3</v>
      </c>
      <c r="W331" t="s">
        <v>688</v>
      </c>
      <c r="X331" t="s">
        <v>40</v>
      </c>
      <c r="Y331" t="s">
        <v>40</v>
      </c>
      <c r="AA331">
        <f t="shared" si="24"/>
        <v>14.77</v>
      </c>
      <c r="AB331">
        <v>46.4</v>
      </c>
      <c r="AC331">
        <f t="shared" si="25"/>
        <v>0.16909308298681702</v>
      </c>
      <c r="AI331" t="e">
        <f>IF(Y331="Yes",NA(),#REF!)</f>
        <v>#N/A</v>
      </c>
      <c r="AJ331" t="e">
        <f>IF(Y331="Yes",NA(),#REF!)</f>
        <v>#N/A</v>
      </c>
      <c r="AK331" t="e">
        <f>IF(Y331="Yes",NA(),#REF!)</f>
        <v>#N/A</v>
      </c>
    </row>
    <row r="332" spans="1:37" x14ac:dyDescent="0.35">
      <c r="A332" s="12">
        <v>332</v>
      </c>
      <c r="C332">
        <v>34</v>
      </c>
      <c r="E332" s="2">
        <v>6</v>
      </c>
      <c r="F332" s="2">
        <v>9</v>
      </c>
      <c r="G332" t="s">
        <v>213</v>
      </c>
      <c r="H332" t="s">
        <v>214</v>
      </c>
      <c r="I332" t="s">
        <v>689</v>
      </c>
      <c r="J332" s="14">
        <f t="shared" si="23"/>
        <v>210.10000000000002</v>
      </c>
      <c r="K332">
        <v>1300</v>
      </c>
      <c r="N332" t="s">
        <v>54</v>
      </c>
      <c r="Q332" t="s">
        <v>152</v>
      </c>
      <c r="W332" t="s">
        <v>690</v>
      </c>
      <c r="X332" t="s">
        <v>40</v>
      </c>
      <c r="Y332" t="s">
        <v>40</v>
      </c>
      <c r="Z332" t="s">
        <v>691</v>
      </c>
      <c r="AA332">
        <f t="shared" si="24"/>
        <v>21.01</v>
      </c>
      <c r="AB332">
        <v>66</v>
      </c>
      <c r="AC332">
        <f t="shared" si="25"/>
        <v>0.34211943997592847</v>
      </c>
      <c r="AI332" t="e">
        <f>IF(Y332="Yes",NA(),#REF!)</f>
        <v>#N/A</v>
      </c>
      <c r="AJ332" t="e">
        <f>IF(Y332="Yes",NA(),#REF!)</f>
        <v>#N/A</v>
      </c>
      <c r="AK332" t="e">
        <f>IF(Y332="Yes",NA(),#REF!)</f>
        <v>#N/A</v>
      </c>
    </row>
    <row r="333" spans="1:37" x14ac:dyDescent="0.35">
      <c r="A333" s="12">
        <v>333</v>
      </c>
      <c r="C333">
        <v>34</v>
      </c>
      <c r="E333" s="2">
        <v>1</v>
      </c>
      <c r="F333" s="2">
        <v>4</v>
      </c>
      <c r="G333" t="s">
        <v>34</v>
      </c>
      <c r="H333" t="s">
        <v>35</v>
      </c>
      <c r="J333" s="14">
        <f t="shared" si="23"/>
        <v>195.79999999999998</v>
      </c>
      <c r="K333">
        <v>1300</v>
      </c>
      <c r="N333" t="s">
        <v>54</v>
      </c>
      <c r="Q333" t="s">
        <v>152</v>
      </c>
      <c r="U333">
        <v>3</v>
      </c>
      <c r="W333" t="s">
        <v>692</v>
      </c>
      <c r="X333" t="s">
        <v>40</v>
      </c>
      <c r="Y333" t="s">
        <v>40</v>
      </c>
      <c r="AA333">
        <f t="shared" si="24"/>
        <v>19.579999999999998</v>
      </c>
      <c r="AB333">
        <v>61.5</v>
      </c>
      <c r="AC333">
        <f t="shared" si="25"/>
        <v>0.29705722035099991</v>
      </c>
      <c r="AI333" t="e">
        <f>IF(Y333="Yes",NA(),#REF!)</f>
        <v>#N/A</v>
      </c>
      <c r="AJ333" t="e">
        <f>IF(Y333="Yes",NA(),#REF!)</f>
        <v>#N/A</v>
      </c>
      <c r="AK333" t="e">
        <f>IF(Y333="Yes",NA(),#REF!)</f>
        <v>#N/A</v>
      </c>
    </row>
    <row r="334" spans="1:37" x14ac:dyDescent="0.35">
      <c r="A334" s="12">
        <v>334</v>
      </c>
      <c r="C334">
        <v>35</v>
      </c>
      <c r="E334" s="2">
        <v>8.5</v>
      </c>
      <c r="F334" s="2">
        <v>0.5</v>
      </c>
      <c r="G334" t="s">
        <v>63</v>
      </c>
      <c r="H334" t="s">
        <v>64</v>
      </c>
      <c r="J334" s="14">
        <f t="shared" si="23"/>
        <v>120.3</v>
      </c>
      <c r="K334">
        <v>1300</v>
      </c>
      <c r="N334" t="s">
        <v>54</v>
      </c>
      <c r="Q334" t="s">
        <v>152</v>
      </c>
      <c r="W334" t="s">
        <v>693</v>
      </c>
      <c r="AA334">
        <f t="shared" si="24"/>
        <v>12.03</v>
      </c>
      <c r="AB334" s="26">
        <v>37.799999999999997</v>
      </c>
      <c r="AC334">
        <f t="shared" si="25"/>
        <v>0.11222083117888099</v>
      </c>
      <c r="AI334" t="e">
        <f>IF(Y334="Yes",NA(),#REF!)</f>
        <v>#REF!</v>
      </c>
      <c r="AJ334" t="e">
        <f>IF(Y334="Yes",NA(),#REF!)</f>
        <v>#REF!</v>
      </c>
      <c r="AK334" t="e">
        <f>IF(Y334="Yes",NA(),#REF!)</f>
        <v>#REF!</v>
      </c>
    </row>
    <row r="335" spans="1:37" x14ac:dyDescent="0.35">
      <c r="A335" s="12">
        <v>335</v>
      </c>
      <c r="C335">
        <v>35</v>
      </c>
      <c r="E335" s="2" t="s">
        <v>281</v>
      </c>
      <c r="F335" s="2" t="s">
        <v>75</v>
      </c>
      <c r="G335" t="s">
        <v>495</v>
      </c>
      <c r="H335" t="s">
        <v>496</v>
      </c>
      <c r="J335" s="14">
        <f t="shared" si="23"/>
        <v>106.6</v>
      </c>
      <c r="K335">
        <v>1300</v>
      </c>
      <c r="N335" t="s">
        <v>54</v>
      </c>
      <c r="Q335">
        <v>1</v>
      </c>
      <c r="W335" t="s">
        <v>694</v>
      </c>
      <c r="X335" t="s">
        <v>40</v>
      </c>
      <c r="Y335" t="s">
        <v>426</v>
      </c>
      <c r="AA335">
        <f t="shared" si="24"/>
        <v>10.66</v>
      </c>
      <c r="AB335">
        <v>33.5</v>
      </c>
      <c r="AC335">
        <f t="shared" si="25"/>
        <v>8.8141308887278627E-2</v>
      </c>
      <c r="AI335" t="e">
        <f>IF(Y335="Yes",NA(),#REF!)</f>
        <v>#N/A</v>
      </c>
      <c r="AJ335" t="e">
        <f>IF(Y335="Yes",NA(),#REF!)</f>
        <v>#N/A</v>
      </c>
      <c r="AK335" t="e">
        <f>IF(Y335="Yes",NA(),#REF!)</f>
        <v>#N/A</v>
      </c>
    </row>
    <row r="336" spans="1:37" x14ac:dyDescent="0.35">
      <c r="A336" s="12">
        <v>336</v>
      </c>
      <c r="C336">
        <v>35</v>
      </c>
      <c r="E336" s="2" t="s">
        <v>33</v>
      </c>
      <c r="F336" s="2">
        <v>9</v>
      </c>
      <c r="G336" t="s">
        <v>63</v>
      </c>
      <c r="H336" t="s">
        <v>64</v>
      </c>
      <c r="J336" s="14">
        <f t="shared" si="23"/>
        <v>159.19999999999999</v>
      </c>
      <c r="K336">
        <v>1300</v>
      </c>
      <c r="N336" t="s">
        <v>54</v>
      </c>
      <c r="Q336">
        <v>4</v>
      </c>
      <c r="W336" t="s">
        <v>695</v>
      </c>
      <c r="AA336">
        <f t="shared" si="24"/>
        <v>15.92</v>
      </c>
      <c r="AB336" s="26">
        <v>50</v>
      </c>
      <c r="AC336">
        <f t="shared" si="25"/>
        <v>0.19634954084936207</v>
      </c>
      <c r="AI336" t="e">
        <f>IF(Y336="Yes",NA(),#REF!)</f>
        <v>#REF!</v>
      </c>
      <c r="AJ336" t="e">
        <f>IF(Y336="Yes",NA(),#REF!)</f>
        <v>#REF!</v>
      </c>
      <c r="AK336" t="e">
        <f>IF(Y336="Yes",NA(),#REF!)</f>
        <v>#REF!</v>
      </c>
    </row>
    <row r="337" spans="1:37" x14ac:dyDescent="0.35">
      <c r="A337" s="12">
        <v>337</v>
      </c>
      <c r="C337">
        <v>35</v>
      </c>
      <c r="E337" s="2">
        <v>3</v>
      </c>
      <c r="F337" s="2">
        <v>7</v>
      </c>
      <c r="G337" t="s">
        <v>63</v>
      </c>
      <c r="H337" t="s">
        <v>64</v>
      </c>
      <c r="J337" s="14">
        <f t="shared" si="23"/>
        <v>143.9</v>
      </c>
      <c r="K337">
        <v>1300</v>
      </c>
      <c r="N337" t="s">
        <v>54</v>
      </c>
      <c r="Q337" t="s">
        <v>152</v>
      </c>
      <c r="W337" t="s">
        <v>696</v>
      </c>
      <c r="AA337">
        <f t="shared" si="24"/>
        <v>14.39</v>
      </c>
      <c r="AB337" s="26">
        <v>45.2</v>
      </c>
      <c r="AC337">
        <f t="shared" si="25"/>
        <v>0.16045998637475228</v>
      </c>
      <c r="AI337" t="e">
        <f>IF(Y337="Yes",NA(),#REF!)</f>
        <v>#REF!</v>
      </c>
      <c r="AJ337" t="e">
        <f>IF(Y337="Yes",NA(),#REF!)</f>
        <v>#REF!</v>
      </c>
      <c r="AK337" t="e">
        <f>IF(Y337="Yes",NA(),#REF!)</f>
        <v>#REF!</v>
      </c>
    </row>
    <row r="338" spans="1:37" ht="22.5" customHeight="1" x14ac:dyDescent="0.35">
      <c r="A338" s="12">
        <v>338</v>
      </c>
      <c r="C338">
        <v>35</v>
      </c>
      <c r="E338" s="2" t="s">
        <v>58</v>
      </c>
      <c r="F338" s="2">
        <v>5</v>
      </c>
      <c r="G338" t="s">
        <v>213</v>
      </c>
      <c r="H338" t="s">
        <v>214</v>
      </c>
      <c r="J338" s="14">
        <f t="shared" si="23"/>
        <v>152.20000000000002</v>
      </c>
      <c r="K338">
        <v>1300</v>
      </c>
      <c r="N338" t="s">
        <v>61</v>
      </c>
      <c r="Q338" t="s">
        <v>55</v>
      </c>
      <c r="W338" t="s">
        <v>697</v>
      </c>
      <c r="X338" t="s">
        <v>40</v>
      </c>
      <c r="Y338" t="s">
        <v>40</v>
      </c>
      <c r="AA338">
        <f t="shared" si="24"/>
        <v>15.22</v>
      </c>
      <c r="AB338">
        <v>47.8</v>
      </c>
      <c r="AC338">
        <f t="shared" si="25"/>
        <v>0.17945091396570256</v>
      </c>
      <c r="AI338" t="e">
        <f>IF(Y338="Yes",NA(),#REF!)</f>
        <v>#N/A</v>
      </c>
      <c r="AJ338" t="e">
        <f>IF(Y338="Yes",NA(),#REF!)</f>
        <v>#N/A</v>
      </c>
      <c r="AK338" t="e">
        <f>IF(Y338="Yes",NA(),#REF!)</f>
        <v>#N/A</v>
      </c>
    </row>
    <row r="339" spans="1:37" x14ac:dyDescent="0.35">
      <c r="A339" s="12">
        <v>339</v>
      </c>
      <c r="C339">
        <v>35</v>
      </c>
      <c r="E339" s="23">
        <v>8</v>
      </c>
      <c r="F339" s="23" t="s">
        <v>92</v>
      </c>
      <c r="G339" t="s">
        <v>59</v>
      </c>
      <c r="H339" t="s">
        <v>304</v>
      </c>
      <c r="J339" s="14">
        <f t="shared" si="23"/>
        <v>307.2</v>
      </c>
      <c r="K339">
        <v>1300</v>
      </c>
      <c r="N339" t="s">
        <v>54</v>
      </c>
      <c r="Q339">
        <v>5</v>
      </c>
      <c r="W339" t="s">
        <v>698</v>
      </c>
      <c r="X339" t="s">
        <v>40</v>
      </c>
      <c r="Y339" t="s">
        <v>40</v>
      </c>
      <c r="AA339">
        <f t="shared" si="24"/>
        <v>30.72</v>
      </c>
      <c r="AB339" s="26">
        <v>96.5</v>
      </c>
      <c r="AC339">
        <f t="shared" si="25"/>
        <v>0.73138240470978877</v>
      </c>
      <c r="AI339" t="e">
        <f>IF(Y339="Yes",NA(),#REF!)</f>
        <v>#N/A</v>
      </c>
      <c r="AJ339" t="e">
        <f>IF(Y339="Yes",NA(),#REF!)</f>
        <v>#N/A</v>
      </c>
      <c r="AK339" t="e">
        <f>IF(Y339="Yes",NA(),#REF!)</f>
        <v>#N/A</v>
      </c>
    </row>
    <row r="340" spans="1:37" x14ac:dyDescent="0.35">
      <c r="A340" s="12">
        <v>340</v>
      </c>
      <c r="C340">
        <v>35</v>
      </c>
      <c r="E340" s="2">
        <v>7</v>
      </c>
      <c r="F340" s="2">
        <v>1</v>
      </c>
      <c r="G340" t="s">
        <v>205</v>
      </c>
      <c r="H340" t="s">
        <v>699</v>
      </c>
      <c r="J340" s="14">
        <f t="shared" si="23"/>
        <v>200.2</v>
      </c>
      <c r="K340">
        <v>1300</v>
      </c>
      <c r="N340" t="s">
        <v>54</v>
      </c>
      <c r="Q340" t="s">
        <v>38</v>
      </c>
      <c r="W340" t="s">
        <v>700</v>
      </c>
      <c r="X340" t="s">
        <v>40</v>
      </c>
      <c r="Y340" t="s">
        <v>40</v>
      </c>
      <c r="Z340" t="s">
        <v>701</v>
      </c>
      <c r="AA340">
        <f t="shared" si="24"/>
        <v>20.02</v>
      </c>
      <c r="AB340" s="26">
        <v>62.9</v>
      </c>
      <c r="AC340">
        <f t="shared" si="25"/>
        <v>0.31073571476472978</v>
      </c>
      <c r="AI340" t="e">
        <f>IF(Y340="Yes",NA(),#REF!)</f>
        <v>#N/A</v>
      </c>
      <c r="AJ340" t="e">
        <f>IF(Y340="Yes",NA(),#REF!)</f>
        <v>#N/A</v>
      </c>
      <c r="AK340" t="e">
        <f>IF(Y340="Yes",NA(),#REF!)</f>
        <v>#N/A</v>
      </c>
    </row>
    <row r="341" spans="1:37" x14ac:dyDescent="0.35">
      <c r="A341" s="12">
        <v>341</v>
      </c>
      <c r="C341">
        <v>35</v>
      </c>
      <c r="E341" s="2">
        <v>2</v>
      </c>
      <c r="F341" s="2" t="s">
        <v>111</v>
      </c>
      <c r="G341" t="s">
        <v>47</v>
      </c>
      <c r="H341" t="s">
        <v>53</v>
      </c>
      <c r="I341" t="s">
        <v>702</v>
      </c>
      <c r="J341" s="14">
        <f t="shared" si="23"/>
        <v>257.8</v>
      </c>
      <c r="K341">
        <v>1300</v>
      </c>
      <c r="N341" t="s">
        <v>703</v>
      </c>
      <c r="Q341" t="s">
        <v>38</v>
      </c>
      <c r="U341">
        <v>3</v>
      </c>
      <c r="W341" t="s">
        <v>704</v>
      </c>
      <c r="X341" t="s">
        <v>40</v>
      </c>
      <c r="Y341" t="s">
        <v>40</v>
      </c>
      <c r="AA341">
        <f t="shared" si="24"/>
        <v>25.78</v>
      </c>
      <c r="AB341">
        <v>81</v>
      </c>
      <c r="AC341">
        <f t="shared" si="25"/>
        <v>0.51529973500506576</v>
      </c>
      <c r="AI341" t="e">
        <f>IF(Y341="Yes",NA(),#REF!)</f>
        <v>#N/A</v>
      </c>
      <c r="AJ341" t="e">
        <f>IF(Y341="Yes",NA(),#REF!)</f>
        <v>#N/A</v>
      </c>
      <c r="AK341" t="e">
        <f>IF(Y341="Yes",NA(),#REF!)</f>
        <v>#N/A</v>
      </c>
    </row>
    <row r="342" spans="1:37" x14ac:dyDescent="0.35">
      <c r="A342" s="12">
        <v>342</v>
      </c>
      <c r="C342">
        <v>36</v>
      </c>
      <c r="E342" s="2">
        <v>1</v>
      </c>
      <c r="F342" s="2">
        <v>8</v>
      </c>
      <c r="G342" t="s">
        <v>63</v>
      </c>
      <c r="H342" t="s">
        <v>64</v>
      </c>
      <c r="J342" s="14">
        <f t="shared" si="23"/>
        <v>110.5</v>
      </c>
      <c r="K342">
        <v>1300</v>
      </c>
      <c r="N342" t="s">
        <v>61</v>
      </c>
      <c r="Q342" t="s">
        <v>55</v>
      </c>
      <c r="W342" t="s">
        <v>705</v>
      </c>
      <c r="AA342">
        <f t="shared" si="24"/>
        <v>11.05</v>
      </c>
      <c r="AB342" s="26">
        <v>34.700000000000003</v>
      </c>
      <c r="AC342">
        <f t="shared" si="25"/>
        <v>9.4569007456523371E-2</v>
      </c>
      <c r="AI342" t="e">
        <f>IF(Y342="Yes",NA(),#REF!)</f>
        <v>#REF!</v>
      </c>
      <c r="AJ342" t="e">
        <f>IF(Y342="Yes",NA(),#REF!)</f>
        <v>#REF!</v>
      </c>
      <c r="AK342" t="e">
        <f>IF(Y342="Yes",NA(),#REF!)</f>
        <v>#REF!</v>
      </c>
    </row>
    <row r="343" spans="1:37" x14ac:dyDescent="0.35">
      <c r="A343" s="12">
        <v>343</v>
      </c>
      <c r="C343">
        <v>36</v>
      </c>
      <c r="E343" s="2">
        <v>2</v>
      </c>
      <c r="F343" s="2" t="s">
        <v>706</v>
      </c>
      <c r="G343" t="s">
        <v>114</v>
      </c>
      <c r="H343" t="s">
        <v>35</v>
      </c>
      <c r="I343" t="s">
        <v>707</v>
      </c>
      <c r="J343" s="14">
        <f t="shared" si="23"/>
        <v>355.90000000000003</v>
      </c>
      <c r="K343">
        <v>1300</v>
      </c>
      <c r="N343" t="s">
        <v>54</v>
      </c>
      <c r="Q343">
        <v>5</v>
      </c>
      <c r="U343">
        <v>3</v>
      </c>
      <c r="W343" t="s">
        <v>708</v>
      </c>
      <c r="X343" t="s">
        <v>40</v>
      </c>
      <c r="Y343" t="s">
        <v>40</v>
      </c>
      <c r="AA343">
        <f t="shared" si="24"/>
        <v>35.590000000000003</v>
      </c>
      <c r="AB343">
        <v>111.8</v>
      </c>
      <c r="AC343">
        <f t="shared" si="25"/>
        <v>0.98168801398639205</v>
      </c>
      <c r="AI343" t="e">
        <f>IF(Y343="Yes",NA(),#REF!)</f>
        <v>#N/A</v>
      </c>
      <c r="AJ343" t="e">
        <f>IF(Y343="Yes",NA(),#REF!)</f>
        <v>#N/A</v>
      </c>
      <c r="AK343" t="e">
        <f>IF(Y343="Yes",NA(),#REF!)</f>
        <v>#N/A</v>
      </c>
    </row>
    <row r="344" spans="1:37" s="28" customFormat="1" x14ac:dyDescent="0.35">
      <c r="A344" s="27">
        <v>344</v>
      </c>
      <c r="C344" s="28">
        <v>36</v>
      </c>
      <c r="E344" s="29" t="s">
        <v>33</v>
      </c>
      <c r="F344" s="29">
        <v>8</v>
      </c>
      <c r="G344" s="28" t="s">
        <v>114</v>
      </c>
      <c r="H344" s="28" t="s">
        <v>35</v>
      </c>
      <c r="J344" s="30">
        <f t="shared" si="23"/>
        <v>142</v>
      </c>
      <c r="K344" s="28">
        <v>1300</v>
      </c>
      <c r="N344" s="28" t="s">
        <v>61</v>
      </c>
      <c r="Q344" s="28" t="s">
        <v>38</v>
      </c>
      <c r="W344" s="28" t="s">
        <v>709</v>
      </c>
      <c r="X344" s="28" t="s">
        <v>40</v>
      </c>
      <c r="Y344" s="28" t="s">
        <v>40</v>
      </c>
      <c r="Z344" s="28" t="s">
        <v>547</v>
      </c>
      <c r="AA344" s="28">
        <f t="shared" si="24"/>
        <v>14.2</v>
      </c>
      <c r="AB344" s="28">
        <v>44.6</v>
      </c>
      <c r="AC344" s="28">
        <f t="shared" si="25"/>
        <v>0.15622826107036683</v>
      </c>
      <c r="AI344" s="28" t="e">
        <f>IF(Y344="Yes",NA(),#REF!)</f>
        <v>#N/A</v>
      </c>
      <c r="AJ344" s="28" t="e">
        <f>IF(Y344="Yes",NA(),#REF!)</f>
        <v>#N/A</v>
      </c>
      <c r="AK344" s="28" t="e">
        <f>IF(Y344="Yes",NA(),#REF!)</f>
        <v>#N/A</v>
      </c>
    </row>
    <row r="345" spans="1:37" x14ac:dyDescent="0.35">
      <c r="A345" s="12">
        <v>345</v>
      </c>
      <c r="C345">
        <v>36</v>
      </c>
      <c r="E345" s="23">
        <v>3</v>
      </c>
      <c r="F345" s="23">
        <v>9</v>
      </c>
      <c r="G345" t="s">
        <v>59</v>
      </c>
      <c r="H345" t="s">
        <v>304</v>
      </c>
      <c r="J345" s="14">
        <f t="shared" si="23"/>
        <v>144.5</v>
      </c>
      <c r="K345">
        <v>1300</v>
      </c>
      <c r="N345" t="s">
        <v>61</v>
      </c>
      <c r="Q345" t="s">
        <v>38</v>
      </c>
      <c r="U345">
        <v>3</v>
      </c>
      <c r="W345" t="s">
        <v>711</v>
      </c>
      <c r="X345" t="s">
        <v>40</v>
      </c>
      <c r="Y345" t="s">
        <v>40</v>
      </c>
      <c r="AA345">
        <f t="shared" si="24"/>
        <v>14.45</v>
      </c>
      <c r="AB345" s="26">
        <v>45.4</v>
      </c>
      <c r="AC345">
        <f t="shared" si="25"/>
        <v>0.16188312784682843</v>
      </c>
      <c r="AI345" t="e">
        <f>IF(Y345="Yes",NA(),#REF!)</f>
        <v>#N/A</v>
      </c>
      <c r="AJ345" t="e">
        <f>IF(Y345="Yes",NA(),#REF!)</f>
        <v>#N/A</v>
      </c>
      <c r="AK345" t="e">
        <f>IF(Y345="Yes",NA(),#REF!)</f>
        <v>#N/A</v>
      </c>
    </row>
    <row r="346" spans="1:37" x14ac:dyDescent="0.35">
      <c r="A346" s="12">
        <v>346</v>
      </c>
      <c r="C346">
        <v>36</v>
      </c>
      <c r="E346" s="2">
        <v>4</v>
      </c>
      <c r="F346" s="2" t="s">
        <v>51</v>
      </c>
      <c r="G346" t="s">
        <v>63</v>
      </c>
      <c r="H346" t="s">
        <v>64</v>
      </c>
      <c r="J346" s="14">
        <f t="shared" si="23"/>
        <v>116.5</v>
      </c>
      <c r="K346">
        <v>1300</v>
      </c>
      <c r="N346" t="s">
        <v>54</v>
      </c>
      <c r="Q346" t="s">
        <v>38</v>
      </c>
      <c r="W346" t="s">
        <v>712</v>
      </c>
      <c r="AA346">
        <f t="shared" si="24"/>
        <v>11.65</v>
      </c>
      <c r="AB346" s="26">
        <v>36.6</v>
      </c>
      <c r="AC346">
        <f t="shared" si="25"/>
        <v>0.10520879637606859</v>
      </c>
      <c r="AI346" t="e">
        <f>IF(Y346="Yes",NA(),#REF!)</f>
        <v>#REF!</v>
      </c>
      <c r="AJ346" t="e">
        <f>IF(Y346="Yes",NA(),#REF!)</f>
        <v>#REF!</v>
      </c>
      <c r="AK346" t="e">
        <f>IF(Y346="Yes",NA(),#REF!)</f>
        <v>#REF!</v>
      </c>
    </row>
    <row r="347" spans="1:37" x14ac:dyDescent="0.35">
      <c r="A347" s="12">
        <v>347</v>
      </c>
      <c r="C347">
        <v>36</v>
      </c>
      <c r="E347" s="2">
        <v>7</v>
      </c>
      <c r="F347" s="2">
        <v>9</v>
      </c>
      <c r="G347" t="s">
        <v>34</v>
      </c>
      <c r="H347" t="s">
        <v>35</v>
      </c>
      <c r="J347" s="14">
        <f t="shared" si="23"/>
        <v>103.10000000000001</v>
      </c>
      <c r="K347">
        <v>1300</v>
      </c>
      <c r="N347" t="s">
        <v>37</v>
      </c>
      <c r="Q347">
        <v>1</v>
      </c>
      <c r="W347" t="s">
        <v>713</v>
      </c>
      <c r="X347" t="s">
        <v>40</v>
      </c>
      <c r="Y347" t="s">
        <v>40</v>
      </c>
      <c r="AA347">
        <f t="shared" si="24"/>
        <v>10.31</v>
      </c>
      <c r="AB347">
        <v>32.4</v>
      </c>
      <c r="AC347">
        <f t="shared" si="25"/>
        <v>8.2447957600810529E-2</v>
      </c>
      <c r="AI347" t="e">
        <f>IF(Y347="Yes",NA(),#REF!)</f>
        <v>#N/A</v>
      </c>
      <c r="AJ347" t="e">
        <f>IF(Y347="Yes",NA(),#REF!)</f>
        <v>#N/A</v>
      </c>
      <c r="AK347" t="e">
        <f>IF(Y347="Yes",NA(),#REF!)</f>
        <v>#N/A</v>
      </c>
    </row>
    <row r="348" spans="1:37" x14ac:dyDescent="0.35">
      <c r="A348" s="12">
        <v>348</v>
      </c>
      <c r="C348">
        <v>36</v>
      </c>
      <c r="E348" s="2">
        <v>7</v>
      </c>
      <c r="F348" s="2">
        <v>8</v>
      </c>
      <c r="G348" t="s">
        <v>42</v>
      </c>
      <c r="H348" t="s">
        <v>35</v>
      </c>
      <c r="J348" s="14">
        <f t="shared" si="23"/>
        <v>198.9</v>
      </c>
      <c r="K348">
        <v>1300</v>
      </c>
      <c r="N348" t="s">
        <v>61</v>
      </c>
      <c r="Q348" t="s">
        <v>38</v>
      </c>
      <c r="W348" t="s">
        <v>714</v>
      </c>
      <c r="X348" t="s">
        <v>40</v>
      </c>
      <c r="Y348" t="s">
        <v>40</v>
      </c>
      <c r="Z348" t="s">
        <v>715</v>
      </c>
      <c r="AA348">
        <f t="shared" si="24"/>
        <v>19.89</v>
      </c>
      <c r="AB348">
        <v>62.5</v>
      </c>
      <c r="AC348">
        <f t="shared" si="25"/>
        <v>0.30679615757712825</v>
      </c>
      <c r="AI348" t="e">
        <f>IF(Y348="Yes",NA(),#REF!)</f>
        <v>#N/A</v>
      </c>
      <c r="AJ348" t="e">
        <f>IF(Y348="Yes",NA(),#REF!)</f>
        <v>#N/A</v>
      </c>
      <c r="AK348" t="e">
        <f>IF(Y348="Yes",NA(),#REF!)</f>
        <v>#N/A</v>
      </c>
    </row>
    <row r="349" spans="1:37" x14ac:dyDescent="0.35">
      <c r="A349" s="12">
        <v>349</v>
      </c>
      <c r="C349">
        <v>36</v>
      </c>
      <c r="E349" s="2" t="s">
        <v>58</v>
      </c>
      <c r="F349" s="2">
        <v>9</v>
      </c>
      <c r="G349" t="s">
        <v>63</v>
      </c>
      <c r="H349" t="s">
        <v>64</v>
      </c>
      <c r="J349" s="14">
        <f t="shared" si="23"/>
        <v>100.60000000000001</v>
      </c>
      <c r="K349">
        <v>1300</v>
      </c>
      <c r="N349" t="s">
        <v>54</v>
      </c>
      <c r="Q349" t="s">
        <v>38</v>
      </c>
      <c r="W349" t="s">
        <v>716</v>
      </c>
      <c r="AA349">
        <f t="shared" si="24"/>
        <v>10.06</v>
      </c>
      <c r="AB349" s="26">
        <v>31.6</v>
      </c>
      <c r="AC349">
        <f t="shared" si="25"/>
        <v>7.8426719004215606E-2</v>
      </c>
      <c r="AI349" t="e">
        <f>IF(Y349="Yes",NA(),#REF!)</f>
        <v>#REF!</v>
      </c>
      <c r="AJ349" t="e">
        <f>IF(Y349="Yes",NA(),#REF!)</f>
        <v>#REF!</v>
      </c>
      <c r="AK349" t="e">
        <f>IF(Y349="Yes",NA(),#REF!)</f>
        <v>#REF!</v>
      </c>
    </row>
    <row r="350" spans="1:37" x14ac:dyDescent="0.35">
      <c r="A350" s="12">
        <v>350</v>
      </c>
      <c r="C350">
        <v>36</v>
      </c>
      <c r="E350" s="2" t="s">
        <v>58</v>
      </c>
      <c r="F350" s="2">
        <v>4</v>
      </c>
      <c r="G350" t="s">
        <v>63</v>
      </c>
      <c r="H350" t="s">
        <v>64</v>
      </c>
      <c r="J350" s="14">
        <f t="shared" si="23"/>
        <v>124.1</v>
      </c>
      <c r="K350">
        <v>1300</v>
      </c>
      <c r="N350" t="s">
        <v>54</v>
      </c>
      <c r="Q350" t="s">
        <v>38</v>
      </c>
      <c r="W350" t="s">
        <v>717</v>
      </c>
      <c r="AA350">
        <f t="shared" si="24"/>
        <v>12.41</v>
      </c>
      <c r="AB350" s="26">
        <v>39</v>
      </c>
      <c r="AC350">
        <f t="shared" si="25"/>
        <v>0.11945906065275187</v>
      </c>
      <c r="AI350" t="e">
        <f>IF(Y350="Yes",NA(),#REF!)</f>
        <v>#REF!</v>
      </c>
      <c r="AJ350" t="e">
        <f>IF(Y350="Yes",NA(),#REF!)</f>
        <v>#REF!</v>
      </c>
      <c r="AK350" t="e">
        <f>IF(Y350="Yes",NA(),#REF!)</f>
        <v>#REF!</v>
      </c>
    </row>
    <row r="351" spans="1:37" x14ac:dyDescent="0.35">
      <c r="A351" s="12">
        <v>351</v>
      </c>
      <c r="C351">
        <v>36</v>
      </c>
      <c r="E351" s="2" t="s">
        <v>51</v>
      </c>
      <c r="F351" s="2" t="s">
        <v>33</v>
      </c>
      <c r="G351" t="s">
        <v>63</v>
      </c>
      <c r="H351" t="s">
        <v>64</v>
      </c>
      <c r="J351" s="14">
        <f t="shared" si="23"/>
        <v>118.4</v>
      </c>
      <c r="K351">
        <v>1300</v>
      </c>
      <c r="N351" t="s">
        <v>54</v>
      </c>
      <c r="Q351" t="s">
        <v>38</v>
      </c>
      <c r="W351" t="s">
        <v>718</v>
      </c>
      <c r="AA351">
        <f t="shared" si="24"/>
        <v>11.84</v>
      </c>
      <c r="AB351" s="26">
        <v>37.200000000000003</v>
      </c>
      <c r="AC351">
        <f t="shared" si="25"/>
        <v>0.10868653944359251</v>
      </c>
      <c r="AI351" t="e">
        <f>IF(Y351="Yes",NA(),#REF!)</f>
        <v>#REF!</v>
      </c>
      <c r="AJ351" t="e">
        <f>IF(Y351="Yes",NA(),#REF!)</f>
        <v>#REF!</v>
      </c>
      <c r="AK351" t="e">
        <f>IF(Y351="Yes",NA(),#REF!)</f>
        <v>#REF!</v>
      </c>
    </row>
    <row r="352" spans="1:37" x14ac:dyDescent="0.35">
      <c r="A352" s="12">
        <v>352</v>
      </c>
      <c r="C352">
        <v>36</v>
      </c>
      <c r="E352" s="2">
        <v>9</v>
      </c>
      <c r="F352" s="2">
        <v>2</v>
      </c>
      <c r="G352" t="s">
        <v>63</v>
      </c>
      <c r="H352" t="s">
        <v>64</v>
      </c>
      <c r="J352" s="14">
        <f t="shared" si="23"/>
        <v>130.5</v>
      </c>
      <c r="K352">
        <v>1300</v>
      </c>
      <c r="N352" t="s">
        <v>54</v>
      </c>
      <c r="Q352" t="s">
        <v>38</v>
      </c>
      <c r="W352" t="s">
        <v>719</v>
      </c>
      <c r="AA352">
        <f t="shared" si="24"/>
        <v>13.05</v>
      </c>
      <c r="AB352" s="26">
        <v>41</v>
      </c>
      <c r="AC352">
        <f t="shared" si="25"/>
        <v>0.13202543126711105</v>
      </c>
      <c r="AI352" t="e">
        <f>IF(Y352="Yes",NA(),#REF!)</f>
        <v>#REF!</v>
      </c>
      <c r="AJ352" t="e">
        <f>IF(Y352="Yes",NA(),#REF!)</f>
        <v>#REF!</v>
      </c>
      <c r="AK352" t="e">
        <f>IF(Y352="Yes",NA(),#REF!)</f>
        <v>#REF!</v>
      </c>
    </row>
    <row r="353" spans="1:37" x14ac:dyDescent="0.35">
      <c r="A353" s="12">
        <v>353</v>
      </c>
      <c r="C353">
        <v>36</v>
      </c>
      <c r="E353" s="2" t="s">
        <v>121</v>
      </c>
      <c r="F353" s="2">
        <v>3</v>
      </c>
      <c r="G353" t="s">
        <v>70</v>
      </c>
      <c r="H353" t="s">
        <v>161</v>
      </c>
      <c r="J353" s="14">
        <f t="shared" si="23"/>
        <v>180.79999999999998</v>
      </c>
      <c r="K353">
        <v>1300</v>
      </c>
      <c r="N353" t="s">
        <v>54</v>
      </c>
      <c r="Q353" t="s">
        <v>38</v>
      </c>
      <c r="W353" t="s">
        <v>720</v>
      </c>
      <c r="X353" t="s">
        <v>40</v>
      </c>
      <c r="Y353" t="s">
        <v>40</v>
      </c>
      <c r="AA353">
        <f t="shared" si="24"/>
        <v>18.079999999999998</v>
      </c>
      <c r="AB353">
        <v>56.8</v>
      </c>
      <c r="AC353">
        <f t="shared" si="25"/>
        <v>0.25338829706793831</v>
      </c>
      <c r="AI353" t="e">
        <f>IF(Y353="Yes",NA(),#REF!)</f>
        <v>#N/A</v>
      </c>
      <c r="AJ353" t="e">
        <f>IF(Y353="Yes",NA(),#REF!)</f>
        <v>#N/A</v>
      </c>
      <c r="AK353" t="e">
        <f>IF(Y353="Yes",NA(),#REF!)</f>
        <v>#N/A</v>
      </c>
    </row>
    <row r="354" spans="1:37" x14ac:dyDescent="0.35">
      <c r="A354" s="12">
        <v>354</v>
      </c>
      <c r="C354">
        <v>37</v>
      </c>
      <c r="E354" s="23">
        <v>2</v>
      </c>
      <c r="F354" s="23">
        <v>9</v>
      </c>
      <c r="G354" t="s">
        <v>467</v>
      </c>
      <c r="H354" t="s">
        <v>468</v>
      </c>
      <c r="J354" s="14">
        <f t="shared" si="23"/>
        <v>157.6</v>
      </c>
      <c r="K354">
        <v>1300</v>
      </c>
      <c r="N354" t="s">
        <v>54</v>
      </c>
      <c r="Q354">
        <v>4</v>
      </c>
      <c r="U354">
        <v>3</v>
      </c>
      <c r="W354" t="s">
        <v>721</v>
      </c>
      <c r="X354" t="s">
        <v>40</v>
      </c>
      <c r="Y354" t="s">
        <v>40</v>
      </c>
      <c r="AA354">
        <f t="shared" si="24"/>
        <v>15.76</v>
      </c>
      <c r="AB354" s="26">
        <v>49.5</v>
      </c>
      <c r="AC354">
        <f t="shared" si="25"/>
        <v>0.19244218498645979</v>
      </c>
      <c r="AI354" t="e">
        <f>IF(Y354="Yes",NA(),#REF!)</f>
        <v>#N/A</v>
      </c>
      <c r="AJ354" t="e">
        <f>IF(Y354="Yes",NA(),#REF!)</f>
        <v>#N/A</v>
      </c>
      <c r="AK354" t="e">
        <f>IF(Y354="Yes",NA(),#REF!)</f>
        <v>#N/A</v>
      </c>
    </row>
    <row r="355" spans="1:37" x14ac:dyDescent="0.35">
      <c r="A355" s="12">
        <v>355</v>
      </c>
      <c r="C355">
        <v>37</v>
      </c>
      <c r="E355" s="2">
        <v>2</v>
      </c>
      <c r="F355" s="2" t="s">
        <v>52</v>
      </c>
      <c r="G355" t="s">
        <v>34</v>
      </c>
      <c r="H355" t="s">
        <v>35</v>
      </c>
      <c r="I355" t="s">
        <v>722</v>
      </c>
      <c r="J355" s="14">
        <f t="shared" si="23"/>
        <v>252.7</v>
      </c>
      <c r="K355">
        <v>1300</v>
      </c>
      <c r="N355" t="s">
        <v>54</v>
      </c>
      <c r="Q355" t="s">
        <v>38</v>
      </c>
      <c r="W355" t="s">
        <v>723</v>
      </c>
      <c r="X355" t="s">
        <v>40</v>
      </c>
      <c r="Y355" t="s">
        <v>40</v>
      </c>
      <c r="AA355">
        <f t="shared" si="24"/>
        <v>25.27</v>
      </c>
      <c r="AB355">
        <v>79.400000000000006</v>
      </c>
      <c r="AC355">
        <f t="shared" si="25"/>
        <v>0.49514327653963375</v>
      </c>
      <c r="AI355" t="e">
        <f>IF(Y355="Yes",NA(),#REF!)</f>
        <v>#N/A</v>
      </c>
      <c r="AJ355" t="e">
        <f>IF(Y355="Yes",NA(),#REF!)</f>
        <v>#N/A</v>
      </c>
      <c r="AK355" t="e">
        <f>IF(Y355="Yes",NA(),#REF!)</f>
        <v>#N/A</v>
      </c>
    </row>
    <row r="356" spans="1:37" x14ac:dyDescent="0.35">
      <c r="A356" s="12">
        <v>356</v>
      </c>
      <c r="C356">
        <v>37</v>
      </c>
      <c r="E356" s="2">
        <v>5</v>
      </c>
      <c r="F356" s="2" t="s">
        <v>58</v>
      </c>
      <c r="G356" t="s">
        <v>63</v>
      </c>
      <c r="H356" t="s">
        <v>64</v>
      </c>
      <c r="J356" s="14">
        <f t="shared" si="23"/>
        <v>119.39999999999999</v>
      </c>
      <c r="K356">
        <v>1300</v>
      </c>
      <c r="N356" t="s">
        <v>54</v>
      </c>
      <c r="Q356" t="s">
        <v>38</v>
      </c>
      <c r="W356" t="s">
        <v>724</v>
      </c>
      <c r="AA356">
        <f t="shared" si="24"/>
        <v>11.94</v>
      </c>
      <c r="AB356" s="26">
        <v>37.5</v>
      </c>
      <c r="AC356">
        <f t="shared" ref="AC356:AC365" si="26">PI()*(AB356/2)*(AB356/2)/10000</f>
        <v>0.11044661672776618</v>
      </c>
      <c r="AI356" t="e">
        <f>IF(Y356="Yes",NA(),#REF!)</f>
        <v>#REF!</v>
      </c>
      <c r="AJ356" t="e">
        <f>IF(Y356="Yes",NA(),#REF!)</f>
        <v>#REF!</v>
      </c>
      <c r="AK356" t="e">
        <f>IF(Y356="Yes",NA(),#REF!)</f>
        <v>#REF!</v>
      </c>
    </row>
    <row r="357" spans="1:37" x14ac:dyDescent="0.35">
      <c r="A357" s="12">
        <v>357</v>
      </c>
      <c r="C357">
        <v>37</v>
      </c>
      <c r="E357" s="2" t="s">
        <v>52</v>
      </c>
      <c r="F357" s="2" t="s">
        <v>52</v>
      </c>
      <c r="G357" t="s">
        <v>108</v>
      </c>
      <c r="H357" t="s">
        <v>35</v>
      </c>
      <c r="J357" s="14">
        <f t="shared" si="23"/>
        <v>273.39999999999998</v>
      </c>
      <c r="K357">
        <v>1300</v>
      </c>
      <c r="N357" t="s">
        <v>54</v>
      </c>
      <c r="Q357">
        <v>4</v>
      </c>
      <c r="W357" t="s">
        <v>725</v>
      </c>
      <c r="X357" t="s">
        <v>40</v>
      </c>
      <c r="Y357" t="s">
        <v>40</v>
      </c>
      <c r="AA357">
        <f t="shared" si="24"/>
        <v>27.34</v>
      </c>
      <c r="AB357">
        <v>85.9</v>
      </c>
      <c r="AC357">
        <f t="shared" si="26"/>
        <v>0.57953038220587261</v>
      </c>
      <c r="AI357" t="e">
        <f>IF(Y357="Yes",NA(),#REF!)</f>
        <v>#N/A</v>
      </c>
      <c r="AJ357" t="e">
        <f>IF(Y357="Yes",NA(),#REF!)</f>
        <v>#N/A</v>
      </c>
      <c r="AK357" t="e">
        <f>IF(Y357="Yes",NA(),#REF!)</f>
        <v>#N/A</v>
      </c>
    </row>
    <row r="358" spans="1:37" x14ac:dyDescent="0.35">
      <c r="A358" s="12">
        <v>358</v>
      </c>
      <c r="C358">
        <v>37</v>
      </c>
      <c r="E358" s="2" t="s">
        <v>51</v>
      </c>
      <c r="F358" s="2" t="s">
        <v>122</v>
      </c>
      <c r="G358" t="s">
        <v>89</v>
      </c>
      <c r="H358" t="s">
        <v>90</v>
      </c>
      <c r="J358" s="14">
        <f t="shared" si="23"/>
        <v>287.39999999999998</v>
      </c>
      <c r="K358">
        <v>1300</v>
      </c>
      <c r="N358" t="s">
        <v>54</v>
      </c>
      <c r="Q358">
        <v>5</v>
      </c>
      <c r="U358">
        <v>4</v>
      </c>
      <c r="W358" t="s">
        <v>726</v>
      </c>
      <c r="X358" t="s">
        <v>40</v>
      </c>
      <c r="Y358" t="s">
        <v>40</v>
      </c>
      <c r="AA358">
        <f t="shared" si="24"/>
        <v>28.74</v>
      </c>
      <c r="AB358">
        <v>90.3</v>
      </c>
      <c r="AC358">
        <f t="shared" si="26"/>
        <v>0.64042073101774988</v>
      </c>
      <c r="AI358" t="e">
        <f>IF(Y358="Yes",NA(),#REF!)</f>
        <v>#N/A</v>
      </c>
      <c r="AJ358" t="e">
        <f>IF(Y358="Yes",NA(),#REF!)</f>
        <v>#N/A</v>
      </c>
      <c r="AK358" t="e">
        <f>IF(Y358="Yes",NA(),#REF!)</f>
        <v>#N/A</v>
      </c>
    </row>
    <row r="359" spans="1:37" x14ac:dyDescent="0.35">
      <c r="A359" s="12">
        <v>359</v>
      </c>
      <c r="C359">
        <v>37</v>
      </c>
      <c r="E359" s="2" t="s">
        <v>51</v>
      </c>
      <c r="F359" s="2">
        <v>7</v>
      </c>
      <c r="G359" t="s">
        <v>213</v>
      </c>
      <c r="H359" t="s">
        <v>477</v>
      </c>
      <c r="J359" s="14">
        <f t="shared" si="23"/>
        <v>113</v>
      </c>
      <c r="K359">
        <v>1300</v>
      </c>
      <c r="N359" t="s">
        <v>54</v>
      </c>
      <c r="Q359" t="s">
        <v>38</v>
      </c>
      <c r="U359">
        <v>3</v>
      </c>
      <c r="W359" t="s">
        <v>727</v>
      </c>
      <c r="X359" t="s">
        <v>40</v>
      </c>
      <c r="Y359" t="s">
        <v>40</v>
      </c>
      <c r="AA359">
        <f t="shared" si="24"/>
        <v>11.3</v>
      </c>
      <c r="AB359">
        <v>35.5</v>
      </c>
      <c r="AC359">
        <f t="shared" si="26"/>
        <v>9.897980354216343E-2</v>
      </c>
      <c r="AI359" t="e">
        <f>IF(Y359="Yes",NA(),#REF!)</f>
        <v>#N/A</v>
      </c>
      <c r="AJ359" t="e">
        <f>IF(Y359="Yes",NA(),#REF!)</f>
        <v>#N/A</v>
      </c>
      <c r="AK359" t="e">
        <f>IF(Y359="Yes",NA(),#REF!)</f>
        <v>#N/A</v>
      </c>
    </row>
    <row r="360" spans="1:37" x14ac:dyDescent="0.35">
      <c r="A360" s="12">
        <v>360</v>
      </c>
      <c r="C360">
        <v>37</v>
      </c>
      <c r="E360" s="2">
        <v>7</v>
      </c>
      <c r="F360" s="2" t="s">
        <v>174</v>
      </c>
      <c r="G360" t="s">
        <v>63</v>
      </c>
      <c r="H360" t="s">
        <v>728</v>
      </c>
      <c r="J360" s="14">
        <f t="shared" si="23"/>
        <v>117.10000000000001</v>
      </c>
      <c r="K360">
        <v>1300</v>
      </c>
      <c r="N360" t="s">
        <v>54</v>
      </c>
      <c r="Q360" t="s">
        <v>38</v>
      </c>
      <c r="W360" t="s">
        <v>729</v>
      </c>
      <c r="AA360">
        <f t="shared" si="24"/>
        <v>11.71</v>
      </c>
      <c r="AB360">
        <v>36.799999999999997</v>
      </c>
      <c r="AC360">
        <f t="shared" si="26"/>
        <v>0.10636176087993601</v>
      </c>
      <c r="AI360" t="e">
        <f>IF(Y360="Yes",NA(),#REF!)</f>
        <v>#REF!</v>
      </c>
      <c r="AJ360" t="e">
        <f>IF(Y360="Yes",NA(),#REF!)</f>
        <v>#REF!</v>
      </c>
      <c r="AK360" t="e">
        <f>IF(Y360="Yes",NA(),#REF!)</f>
        <v>#REF!</v>
      </c>
    </row>
    <row r="361" spans="1:37" x14ac:dyDescent="0.35">
      <c r="A361" s="12">
        <v>361</v>
      </c>
      <c r="C361">
        <v>37</v>
      </c>
      <c r="E361" s="2" t="s">
        <v>75</v>
      </c>
      <c r="F361" s="2">
        <v>3</v>
      </c>
      <c r="G361" t="s">
        <v>42</v>
      </c>
      <c r="H361" t="s">
        <v>35</v>
      </c>
      <c r="J361" s="14">
        <f t="shared" si="23"/>
        <v>214.5</v>
      </c>
      <c r="K361">
        <v>1300</v>
      </c>
      <c r="N361" t="s">
        <v>54</v>
      </c>
      <c r="Q361" t="s">
        <v>55</v>
      </c>
      <c r="W361" t="s">
        <v>730</v>
      </c>
      <c r="X361" t="s">
        <v>40</v>
      </c>
      <c r="Y361" t="s">
        <v>40</v>
      </c>
      <c r="Z361" t="s">
        <v>731</v>
      </c>
      <c r="AA361">
        <f t="shared" si="24"/>
        <v>21.45</v>
      </c>
      <c r="AB361">
        <v>67.400000000000006</v>
      </c>
      <c r="AC361">
        <f t="shared" si="26"/>
        <v>0.35678753607553931</v>
      </c>
      <c r="AI361" t="e">
        <f>IF(Y361="Yes",NA(),#REF!)</f>
        <v>#N/A</v>
      </c>
      <c r="AJ361" t="e">
        <f>IF(Y361="Yes",NA(),#REF!)</f>
        <v>#N/A</v>
      </c>
      <c r="AK361" t="e">
        <f>IF(Y361="Yes",NA(),#REF!)</f>
        <v>#N/A</v>
      </c>
    </row>
    <row r="362" spans="1:37" x14ac:dyDescent="0.35">
      <c r="A362" s="12">
        <v>362</v>
      </c>
      <c r="C362">
        <v>37</v>
      </c>
      <c r="E362" s="2" t="s">
        <v>610</v>
      </c>
      <c r="F362" s="2">
        <v>4</v>
      </c>
      <c r="G362" t="s">
        <v>76</v>
      </c>
      <c r="H362" t="s">
        <v>732</v>
      </c>
      <c r="J362" s="14">
        <f t="shared" si="23"/>
        <v>321.5</v>
      </c>
      <c r="K362">
        <v>1300</v>
      </c>
      <c r="N362" t="s">
        <v>54</v>
      </c>
      <c r="Q362">
        <v>4</v>
      </c>
      <c r="U362">
        <v>3</v>
      </c>
      <c r="W362" t="s">
        <v>733</v>
      </c>
      <c r="X362" t="s">
        <v>40</v>
      </c>
      <c r="Y362" t="s">
        <v>40</v>
      </c>
      <c r="Z362" t="s">
        <v>734</v>
      </c>
      <c r="AA362">
        <f t="shared" si="24"/>
        <v>32.15</v>
      </c>
      <c r="AB362">
        <v>101</v>
      </c>
      <c r="AC362">
        <f t="shared" si="26"/>
        <v>0.80118466648173703</v>
      </c>
      <c r="AI362" t="e">
        <f>IF(Y362="Yes",NA(),#REF!)</f>
        <v>#N/A</v>
      </c>
      <c r="AJ362" t="e">
        <f>IF(Y362="Yes",NA(),#REF!)</f>
        <v>#N/A</v>
      </c>
      <c r="AK362" t="e">
        <f>IF(Y362="Yes",NA(),#REF!)</f>
        <v>#N/A</v>
      </c>
    </row>
    <row r="363" spans="1:37" x14ac:dyDescent="0.35">
      <c r="A363" s="12">
        <v>363</v>
      </c>
      <c r="C363">
        <v>37</v>
      </c>
      <c r="E363" s="2" t="s">
        <v>610</v>
      </c>
      <c r="F363" s="2" t="s">
        <v>174</v>
      </c>
      <c r="G363" t="s">
        <v>34</v>
      </c>
      <c r="H363" t="s">
        <v>35</v>
      </c>
      <c r="J363" s="14">
        <f t="shared" si="23"/>
        <v>285.2</v>
      </c>
      <c r="K363">
        <v>1300</v>
      </c>
      <c r="N363" t="s">
        <v>297</v>
      </c>
      <c r="Q363">
        <v>4</v>
      </c>
      <c r="U363">
        <v>3</v>
      </c>
      <c r="W363" t="s">
        <v>735</v>
      </c>
      <c r="X363" t="s">
        <v>40</v>
      </c>
      <c r="Y363" t="s">
        <v>40</v>
      </c>
      <c r="AA363">
        <f t="shared" si="24"/>
        <v>28.52</v>
      </c>
      <c r="AB363">
        <v>89.6</v>
      </c>
      <c r="AC363">
        <f t="shared" si="26"/>
        <v>0.63053021194608583</v>
      </c>
      <c r="AI363" t="e">
        <f>IF(Y363="Yes",NA(),#REF!)</f>
        <v>#N/A</v>
      </c>
      <c r="AJ363" t="e">
        <f>IF(Y363="Yes",NA(),#REF!)</f>
        <v>#N/A</v>
      </c>
      <c r="AK363" t="e">
        <f>IF(Y363="Yes",NA(),#REF!)</f>
        <v>#N/A</v>
      </c>
    </row>
    <row r="364" spans="1:37" x14ac:dyDescent="0.35">
      <c r="A364" s="12">
        <v>364</v>
      </c>
      <c r="C364">
        <v>38</v>
      </c>
      <c r="E364" s="2">
        <v>1</v>
      </c>
      <c r="F364" s="2">
        <v>9</v>
      </c>
      <c r="G364" t="s">
        <v>59</v>
      </c>
      <c r="H364" t="s">
        <v>461</v>
      </c>
      <c r="J364" s="14">
        <f t="shared" si="23"/>
        <v>137.5</v>
      </c>
      <c r="K364">
        <v>1300</v>
      </c>
      <c r="N364" t="s">
        <v>54</v>
      </c>
      <c r="Q364">
        <v>5</v>
      </c>
      <c r="U364">
        <v>3</v>
      </c>
      <c r="W364" t="s">
        <v>736</v>
      </c>
      <c r="X364" t="s">
        <v>40</v>
      </c>
      <c r="Y364" t="s">
        <v>40</v>
      </c>
      <c r="AA364">
        <f t="shared" si="24"/>
        <v>13.75</v>
      </c>
      <c r="AB364">
        <v>43.2</v>
      </c>
      <c r="AC364">
        <f t="shared" si="26"/>
        <v>0.14657414684588538</v>
      </c>
      <c r="AI364" t="e">
        <f>IF(Y364="Yes",NA(),#REF!)</f>
        <v>#N/A</v>
      </c>
      <c r="AJ364" t="e">
        <f>IF(Y364="Yes",NA(),#REF!)</f>
        <v>#N/A</v>
      </c>
      <c r="AK364" t="e">
        <f>IF(Y364="Yes",NA(),#REF!)</f>
        <v>#N/A</v>
      </c>
    </row>
    <row r="365" spans="1:37" x14ac:dyDescent="0.35">
      <c r="A365" s="12">
        <v>365</v>
      </c>
      <c r="C365">
        <v>38</v>
      </c>
      <c r="E365" s="2" t="s">
        <v>92</v>
      </c>
      <c r="F365" s="2">
        <v>7</v>
      </c>
      <c r="G365" t="s">
        <v>59</v>
      </c>
      <c r="H365" t="s">
        <v>423</v>
      </c>
      <c r="J365" s="14">
        <f t="shared" si="23"/>
        <v>432.29999999999995</v>
      </c>
      <c r="K365">
        <v>1300</v>
      </c>
      <c r="N365" t="s">
        <v>54</v>
      </c>
      <c r="Q365">
        <v>5</v>
      </c>
      <c r="U365">
        <v>2</v>
      </c>
      <c r="W365" t="s">
        <v>737</v>
      </c>
      <c r="X365" t="s">
        <v>40</v>
      </c>
      <c r="Y365" t="s">
        <v>40</v>
      </c>
      <c r="AA365">
        <f t="shared" si="24"/>
        <v>43.23</v>
      </c>
      <c r="AB365" s="26">
        <v>135.80000000000001</v>
      </c>
      <c r="AC365">
        <f t="shared" si="26"/>
        <v>1.4484030186036922</v>
      </c>
      <c r="AI365" t="e">
        <f>IF(Y365="Yes",NA(),#REF!)</f>
        <v>#N/A</v>
      </c>
      <c r="AJ365" t="e">
        <f>IF(Y365="Yes",NA(),#REF!)</f>
        <v>#N/A</v>
      </c>
      <c r="AK365" t="e">
        <f>IF(Y365="Yes",NA(),#REF!)</f>
        <v>#N/A</v>
      </c>
    </row>
    <row r="366" spans="1:37" x14ac:dyDescent="0.35">
      <c r="A366" s="12">
        <v>366</v>
      </c>
      <c r="C366">
        <v>38</v>
      </c>
      <c r="E366" s="2">
        <v>2</v>
      </c>
      <c r="F366" s="2" t="s">
        <v>58</v>
      </c>
      <c r="G366" t="s">
        <v>66</v>
      </c>
      <c r="H366" t="s">
        <v>67</v>
      </c>
      <c r="J366" s="14">
        <f t="shared" si="23"/>
        <v>461.5</v>
      </c>
      <c r="K366">
        <v>2480</v>
      </c>
      <c r="N366" t="s">
        <v>246</v>
      </c>
      <c r="Q366">
        <v>5</v>
      </c>
      <c r="W366" t="s">
        <v>738</v>
      </c>
      <c r="X366" t="s">
        <v>40</v>
      </c>
      <c r="Y366" t="s">
        <v>40</v>
      </c>
      <c r="Z366" t="s">
        <v>739</v>
      </c>
      <c r="AA366">
        <f t="shared" si="24"/>
        <v>46.15</v>
      </c>
      <c r="AB366" s="26">
        <v>145</v>
      </c>
      <c r="AI366" t="e">
        <f>IF(Y366="Yes",NA(),#REF!)</f>
        <v>#N/A</v>
      </c>
      <c r="AJ366" t="e">
        <f>IF(Y366="Yes",NA(),#REF!)</f>
        <v>#N/A</v>
      </c>
      <c r="AK366" t="e">
        <f>IF(Y366="Yes",NA(),#REF!)</f>
        <v>#N/A</v>
      </c>
    </row>
    <row r="367" spans="1:37" x14ac:dyDescent="0.35">
      <c r="A367" s="12">
        <v>367</v>
      </c>
      <c r="C367">
        <v>38</v>
      </c>
      <c r="E367" s="2" t="s">
        <v>94</v>
      </c>
      <c r="F367" s="2" t="s">
        <v>281</v>
      </c>
      <c r="G367" t="s">
        <v>66</v>
      </c>
      <c r="H367" t="s">
        <v>67</v>
      </c>
      <c r="J367" s="14">
        <f t="shared" si="23"/>
        <v>172.2</v>
      </c>
      <c r="K367">
        <v>1300</v>
      </c>
      <c r="N367" t="s">
        <v>54</v>
      </c>
      <c r="Q367" t="s">
        <v>38</v>
      </c>
      <c r="U367">
        <v>3</v>
      </c>
      <c r="W367" t="s">
        <v>740</v>
      </c>
      <c r="X367" t="s">
        <v>40</v>
      </c>
      <c r="Y367" t="s">
        <v>40</v>
      </c>
      <c r="AA367">
        <f t="shared" si="24"/>
        <v>17.22</v>
      </c>
      <c r="AB367" s="26">
        <v>54.1</v>
      </c>
      <c r="AC367">
        <f t="shared" ref="AC367:AC378" si="27">PI()*(AB367/2)*(AB367/2)/10000</f>
        <v>0.22987111986132858</v>
      </c>
      <c r="AI367" t="e">
        <f>IF(Y367="Yes",NA(),#REF!)</f>
        <v>#N/A</v>
      </c>
      <c r="AJ367" t="e">
        <f>IF(Y367="Yes",NA(),#REF!)</f>
        <v>#N/A</v>
      </c>
      <c r="AK367" t="e">
        <f>IF(Y367="Yes",NA(),#REF!)</f>
        <v>#N/A</v>
      </c>
    </row>
    <row r="368" spans="1:37" x14ac:dyDescent="0.35">
      <c r="A368" s="12">
        <v>368</v>
      </c>
      <c r="C368">
        <v>38</v>
      </c>
      <c r="E368" s="2">
        <v>2</v>
      </c>
      <c r="F368" s="2">
        <v>7</v>
      </c>
      <c r="G368" t="s">
        <v>166</v>
      </c>
      <c r="H368" t="s">
        <v>741</v>
      </c>
      <c r="J368" s="14">
        <f t="shared" si="23"/>
        <v>137.79999999999998</v>
      </c>
      <c r="K368">
        <v>1300</v>
      </c>
      <c r="N368" t="s">
        <v>61</v>
      </c>
      <c r="Q368">
        <v>1</v>
      </c>
      <c r="U368">
        <v>3</v>
      </c>
      <c r="W368" t="s">
        <v>742</v>
      </c>
      <c r="X368" t="s">
        <v>40</v>
      </c>
      <c r="Y368" t="s">
        <v>40</v>
      </c>
      <c r="AA368">
        <f t="shared" si="24"/>
        <v>13.78</v>
      </c>
      <c r="AB368">
        <v>43.3</v>
      </c>
      <c r="AC368">
        <f t="shared" si="27"/>
        <v>0.14725351625722416</v>
      </c>
      <c r="AI368" t="e">
        <f>IF(Y368="Yes",NA(),#REF!)</f>
        <v>#N/A</v>
      </c>
      <c r="AJ368" t="e">
        <f>IF(Y368="Yes",NA(),#REF!)</f>
        <v>#N/A</v>
      </c>
      <c r="AK368" t="e">
        <f>IF(Y368="Yes",NA(),#REF!)</f>
        <v>#N/A</v>
      </c>
    </row>
    <row r="369" spans="1:37" x14ac:dyDescent="0.35">
      <c r="A369" s="12">
        <v>369</v>
      </c>
      <c r="C369">
        <v>38</v>
      </c>
      <c r="E369" s="2">
        <v>5</v>
      </c>
      <c r="F369" s="2" t="s">
        <v>111</v>
      </c>
      <c r="G369" t="s">
        <v>42</v>
      </c>
      <c r="H369" t="s">
        <v>743</v>
      </c>
      <c r="J369" s="14">
        <f t="shared" si="23"/>
        <v>496.59999999999997</v>
      </c>
      <c r="K369">
        <v>1300</v>
      </c>
      <c r="N369" t="s">
        <v>246</v>
      </c>
      <c r="Q369">
        <v>5</v>
      </c>
      <c r="U369">
        <v>5</v>
      </c>
      <c r="W369" t="s">
        <v>744</v>
      </c>
      <c r="X369" t="s">
        <v>40</v>
      </c>
      <c r="Y369" t="s">
        <v>40</v>
      </c>
      <c r="AA369">
        <f t="shared" si="24"/>
        <v>49.66</v>
      </c>
      <c r="AB369">
        <v>156</v>
      </c>
      <c r="AC369">
        <f t="shared" si="27"/>
        <v>1.91134497044403</v>
      </c>
      <c r="AI369" t="e">
        <f>IF(Y369="Yes",NA(),#REF!)</f>
        <v>#N/A</v>
      </c>
      <c r="AJ369" t="e">
        <f>IF(Y369="Yes",NA(),#REF!)</f>
        <v>#N/A</v>
      </c>
      <c r="AK369" t="e">
        <f>IF(Y369="Yes",NA(),#REF!)</f>
        <v>#N/A</v>
      </c>
    </row>
    <row r="370" spans="1:37" x14ac:dyDescent="0.35">
      <c r="A370" s="12">
        <v>370</v>
      </c>
      <c r="C370">
        <v>38</v>
      </c>
      <c r="E370" s="2" t="s">
        <v>281</v>
      </c>
      <c r="F370" s="2" t="s">
        <v>51</v>
      </c>
      <c r="G370" t="s">
        <v>70</v>
      </c>
      <c r="H370" t="s">
        <v>35</v>
      </c>
      <c r="J370" s="14">
        <f t="shared" si="23"/>
        <v>167.10000000000002</v>
      </c>
      <c r="K370">
        <v>1300</v>
      </c>
      <c r="N370" t="s">
        <v>54</v>
      </c>
      <c r="Q370" t="s">
        <v>55</v>
      </c>
      <c r="U370">
        <v>3</v>
      </c>
      <c r="W370" t="s">
        <v>745</v>
      </c>
      <c r="X370" t="s">
        <v>40</v>
      </c>
      <c r="Y370" t="s">
        <v>40</v>
      </c>
      <c r="AA370">
        <f t="shared" si="24"/>
        <v>16.71</v>
      </c>
      <c r="AB370">
        <v>52.5</v>
      </c>
      <c r="AC370">
        <f t="shared" si="27"/>
        <v>0.21647536878642168</v>
      </c>
      <c r="AI370" t="e">
        <f>IF(Y370="Yes",NA(),#REF!)</f>
        <v>#N/A</v>
      </c>
      <c r="AJ370" t="e">
        <f>IF(Y370="Yes",NA(),#REF!)</f>
        <v>#N/A</v>
      </c>
      <c r="AK370" t="e">
        <f>IF(Y370="Yes",NA(),#REF!)</f>
        <v>#N/A</v>
      </c>
    </row>
    <row r="371" spans="1:37" x14ac:dyDescent="0.35">
      <c r="A371" s="12">
        <v>371</v>
      </c>
      <c r="C371">
        <v>38</v>
      </c>
      <c r="E371" s="2">
        <v>7</v>
      </c>
      <c r="F371" s="2">
        <v>8</v>
      </c>
      <c r="G371" t="s">
        <v>63</v>
      </c>
      <c r="H371" t="s">
        <v>64</v>
      </c>
      <c r="J371" s="14">
        <f t="shared" si="23"/>
        <v>121</v>
      </c>
      <c r="K371">
        <v>1300</v>
      </c>
      <c r="N371" t="s">
        <v>54</v>
      </c>
      <c r="Q371" t="s">
        <v>38</v>
      </c>
      <c r="W371" t="s">
        <v>746</v>
      </c>
      <c r="AA371">
        <f t="shared" si="24"/>
        <v>12.1</v>
      </c>
      <c r="AB371" s="26">
        <v>38</v>
      </c>
      <c r="AC371">
        <f t="shared" si="27"/>
        <v>0.11341149479459152</v>
      </c>
      <c r="AI371" t="e">
        <f>IF(Y371="Yes",NA(),#REF!)</f>
        <v>#REF!</v>
      </c>
      <c r="AJ371" t="e">
        <f>IF(Y371="Yes",NA(),#REF!)</f>
        <v>#REF!</v>
      </c>
      <c r="AK371" t="e">
        <f>IF(Y371="Yes",NA(),#REF!)</f>
        <v>#REF!</v>
      </c>
    </row>
    <row r="372" spans="1:37" x14ac:dyDescent="0.35">
      <c r="A372" s="12">
        <v>372</v>
      </c>
      <c r="C372">
        <v>38</v>
      </c>
      <c r="E372" s="2" t="s">
        <v>490</v>
      </c>
      <c r="F372" s="2" t="s">
        <v>281</v>
      </c>
      <c r="G372" t="s">
        <v>42</v>
      </c>
      <c r="H372" t="s">
        <v>446</v>
      </c>
      <c r="I372" t="s">
        <v>747</v>
      </c>
      <c r="J372" s="14">
        <f t="shared" si="23"/>
        <v>111.4</v>
      </c>
      <c r="K372">
        <v>1300</v>
      </c>
      <c r="N372" t="s">
        <v>54</v>
      </c>
      <c r="Q372">
        <v>1</v>
      </c>
      <c r="U372">
        <v>3</v>
      </c>
      <c r="W372" t="s">
        <v>748</v>
      </c>
      <c r="X372" t="s">
        <v>40</v>
      </c>
      <c r="Y372" t="s">
        <v>40</v>
      </c>
      <c r="AA372">
        <f t="shared" si="24"/>
        <v>11.14</v>
      </c>
      <c r="AB372" s="26">
        <v>35</v>
      </c>
      <c r="AC372">
        <f t="shared" si="27"/>
        <v>9.6211275016187411E-2</v>
      </c>
      <c r="AI372" t="e">
        <f>IF(Y372="Yes",NA(),#REF!)</f>
        <v>#N/A</v>
      </c>
      <c r="AJ372" t="e">
        <f>IF(Y372="Yes",NA(),#REF!)</f>
        <v>#N/A</v>
      </c>
      <c r="AK372" t="e">
        <f>IF(Y372="Yes",NA(),#REF!)</f>
        <v>#N/A</v>
      </c>
    </row>
    <row r="373" spans="1:37" x14ac:dyDescent="0.35">
      <c r="A373" s="12">
        <v>373</v>
      </c>
      <c r="C373">
        <v>38</v>
      </c>
      <c r="E373" s="2" t="s">
        <v>121</v>
      </c>
      <c r="F373" s="2">
        <v>1</v>
      </c>
      <c r="G373" t="s">
        <v>47</v>
      </c>
      <c r="H373" t="s">
        <v>749</v>
      </c>
      <c r="J373" s="14">
        <f t="shared" si="23"/>
        <v>251.5</v>
      </c>
      <c r="K373">
        <v>1300</v>
      </c>
      <c r="N373" t="s">
        <v>54</v>
      </c>
      <c r="Q373">
        <v>4</v>
      </c>
      <c r="U373">
        <v>2</v>
      </c>
      <c r="W373" t="s">
        <v>750</v>
      </c>
      <c r="X373" t="s">
        <v>40</v>
      </c>
      <c r="Y373" t="s">
        <v>40</v>
      </c>
      <c r="AA373">
        <f t="shared" si="24"/>
        <v>25.15</v>
      </c>
      <c r="AB373">
        <v>79</v>
      </c>
      <c r="AC373">
        <f t="shared" si="27"/>
        <v>0.49016699377634748</v>
      </c>
      <c r="AI373" t="e">
        <f>IF(Y373="Yes",NA(),#REF!)</f>
        <v>#N/A</v>
      </c>
      <c r="AJ373" t="e">
        <f>IF(Y373="Yes",NA(),#REF!)</f>
        <v>#N/A</v>
      </c>
      <c r="AK373" t="e">
        <f>IF(Y373="Yes",NA(),#REF!)</f>
        <v>#N/A</v>
      </c>
    </row>
    <row r="374" spans="1:37" x14ac:dyDescent="0.35">
      <c r="A374" s="12">
        <v>374</v>
      </c>
      <c r="C374">
        <v>39</v>
      </c>
      <c r="E374" s="2">
        <v>1</v>
      </c>
      <c r="F374" s="2">
        <v>6</v>
      </c>
      <c r="G374" t="s">
        <v>114</v>
      </c>
      <c r="H374" t="s">
        <v>35</v>
      </c>
      <c r="J374" s="14">
        <f t="shared" si="23"/>
        <v>216.1</v>
      </c>
      <c r="K374">
        <v>1300</v>
      </c>
      <c r="N374" t="s">
        <v>54</v>
      </c>
      <c r="Q374" t="s">
        <v>38</v>
      </c>
      <c r="U374">
        <v>5</v>
      </c>
      <c r="W374" t="s">
        <v>751</v>
      </c>
      <c r="X374" t="s">
        <v>40</v>
      </c>
      <c r="Y374" t="s">
        <v>40</v>
      </c>
      <c r="AA374">
        <f t="shared" si="24"/>
        <v>21.61</v>
      </c>
      <c r="AB374">
        <v>67.900000000000006</v>
      </c>
      <c r="AC374">
        <f t="shared" si="27"/>
        <v>0.36210075465092306</v>
      </c>
      <c r="AI374" t="e">
        <f>IF(Y374="Yes",NA(),#REF!)</f>
        <v>#N/A</v>
      </c>
      <c r="AJ374" t="e">
        <f>IF(Y374="Yes",NA(),#REF!)</f>
        <v>#N/A</v>
      </c>
      <c r="AK374" t="e">
        <f>IF(Y374="Yes",NA(),#REF!)</f>
        <v>#N/A</v>
      </c>
    </row>
    <row r="375" spans="1:37" x14ac:dyDescent="0.35">
      <c r="A375" s="12">
        <v>375</v>
      </c>
      <c r="C375">
        <v>39</v>
      </c>
      <c r="E375" s="2" t="s">
        <v>58</v>
      </c>
      <c r="F375" s="2">
        <v>1</v>
      </c>
      <c r="G375" t="s">
        <v>404</v>
      </c>
      <c r="H375" t="s">
        <v>409</v>
      </c>
      <c r="J375" s="14">
        <f t="shared" si="23"/>
        <v>173.79999999999998</v>
      </c>
      <c r="K375">
        <v>1300</v>
      </c>
      <c r="N375" t="s">
        <v>54</v>
      </c>
      <c r="Q375" t="s">
        <v>38</v>
      </c>
      <c r="U375">
        <v>3</v>
      </c>
      <c r="W375" t="s">
        <v>752</v>
      </c>
      <c r="X375" t="s">
        <v>40</v>
      </c>
      <c r="Y375" t="s">
        <v>40</v>
      </c>
      <c r="AA375">
        <f t="shared" si="24"/>
        <v>17.38</v>
      </c>
      <c r="AB375">
        <v>54.6</v>
      </c>
      <c r="AC375">
        <f t="shared" si="27"/>
        <v>0.23413975887939367</v>
      </c>
      <c r="AI375" t="e">
        <f>IF(Y375="Yes",NA(),#REF!)</f>
        <v>#N/A</v>
      </c>
      <c r="AJ375" t="e">
        <f>IF(Y375="Yes",NA(),#REF!)</f>
        <v>#N/A</v>
      </c>
      <c r="AK375" t="e">
        <f>IF(Y375="Yes",NA(),#REF!)</f>
        <v>#N/A</v>
      </c>
    </row>
    <row r="376" spans="1:37" x14ac:dyDescent="0.35">
      <c r="A376" s="12">
        <v>376</v>
      </c>
      <c r="C376">
        <v>40</v>
      </c>
      <c r="E376" s="2" t="s">
        <v>610</v>
      </c>
      <c r="F376" s="2">
        <v>6</v>
      </c>
      <c r="G376" t="s">
        <v>59</v>
      </c>
      <c r="H376" t="s">
        <v>35</v>
      </c>
      <c r="J376" s="14">
        <f t="shared" ref="J376:J439" si="28">ROUND(AB376/PI(), 2)*10</f>
        <v>191</v>
      </c>
      <c r="K376">
        <v>1300</v>
      </c>
      <c r="N376" t="s">
        <v>54</v>
      </c>
      <c r="Q376" t="s">
        <v>38</v>
      </c>
      <c r="U376">
        <v>4</v>
      </c>
      <c r="W376" t="s">
        <v>753</v>
      </c>
      <c r="X376" t="s">
        <v>40</v>
      </c>
      <c r="Y376" t="s">
        <v>40</v>
      </c>
      <c r="AA376">
        <f t="shared" si="24"/>
        <v>19.100000000000001</v>
      </c>
      <c r="AB376">
        <v>60</v>
      </c>
      <c r="AC376">
        <f t="shared" si="27"/>
        <v>0.28274333882308139</v>
      </c>
      <c r="AI376" t="e">
        <f>IF(Y376="Yes",NA(),#REF!)</f>
        <v>#N/A</v>
      </c>
      <c r="AJ376" t="e">
        <f>IF(Y376="Yes",NA(),#REF!)</f>
        <v>#N/A</v>
      </c>
      <c r="AK376" t="e">
        <f>IF(Y376="Yes",NA(),#REF!)</f>
        <v>#N/A</v>
      </c>
    </row>
    <row r="377" spans="1:37" x14ac:dyDescent="0.35">
      <c r="A377" s="12">
        <v>377</v>
      </c>
      <c r="C377">
        <v>40</v>
      </c>
      <c r="E377" s="2">
        <v>2</v>
      </c>
      <c r="F377" s="2" t="s">
        <v>52</v>
      </c>
      <c r="G377" t="s">
        <v>114</v>
      </c>
      <c r="H377" t="s">
        <v>35</v>
      </c>
      <c r="I377" t="s">
        <v>754</v>
      </c>
      <c r="J377" s="14">
        <f t="shared" si="28"/>
        <v>135.6</v>
      </c>
      <c r="K377">
        <v>1300</v>
      </c>
      <c r="N377" t="s">
        <v>54</v>
      </c>
      <c r="Q377" t="s">
        <v>38</v>
      </c>
      <c r="U377">
        <v>3</v>
      </c>
      <c r="W377" t="s">
        <v>755</v>
      </c>
      <c r="X377" t="s">
        <v>40</v>
      </c>
      <c r="Y377" t="s">
        <v>40</v>
      </c>
      <c r="AA377">
        <f t="shared" si="24"/>
        <v>13.56</v>
      </c>
      <c r="AB377">
        <v>42.6</v>
      </c>
      <c r="AC377">
        <f t="shared" si="27"/>
        <v>0.14253091710071536</v>
      </c>
      <c r="AI377" t="e">
        <f>IF(Y377="Yes",NA(),#REF!)</f>
        <v>#N/A</v>
      </c>
      <c r="AJ377" t="e">
        <f>IF(Y377="Yes",NA(),#REF!)</f>
        <v>#N/A</v>
      </c>
      <c r="AK377" t="e">
        <f>IF(Y377="Yes",NA(),#REF!)</f>
        <v>#N/A</v>
      </c>
    </row>
    <row r="378" spans="1:37" x14ac:dyDescent="0.35">
      <c r="A378" s="12">
        <v>378</v>
      </c>
      <c r="C378">
        <v>40</v>
      </c>
      <c r="E378" s="2" t="s">
        <v>756</v>
      </c>
      <c r="F378" s="2">
        <v>9</v>
      </c>
      <c r="G378" t="s">
        <v>47</v>
      </c>
      <c r="H378" t="s">
        <v>503</v>
      </c>
      <c r="J378" s="14">
        <f t="shared" si="28"/>
        <v>230.79999999999998</v>
      </c>
      <c r="K378">
        <v>1300</v>
      </c>
      <c r="N378" t="s">
        <v>54</v>
      </c>
      <c r="Q378" t="s">
        <v>38</v>
      </c>
      <c r="U378">
        <v>3</v>
      </c>
      <c r="W378" t="s">
        <v>757</v>
      </c>
      <c r="X378" t="s">
        <v>40</v>
      </c>
      <c r="Y378" t="s">
        <v>40</v>
      </c>
      <c r="Z378" t="s">
        <v>758</v>
      </c>
      <c r="AA378">
        <f t="shared" si="24"/>
        <v>23.08</v>
      </c>
      <c r="AB378">
        <v>72.5</v>
      </c>
      <c r="AC378">
        <f t="shared" si="27"/>
        <v>0.41282490963578378</v>
      </c>
      <c r="AI378" t="e">
        <f>IF(Y378="Yes",NA(),#REF!)</f>
        <v>#N/A</v>
      </c>
      <c r="AJ378" t="e">
        <f>IF(Y378="Yes",NA(),#REF!)</f>
        <v>#N/A</v>
      </c>
      <c r="AK378" t="e">
        <f>IF(Y378="Yes",NA(),#REF!)</f>
        <v>#N/A</v>
      </c>
    </row>
    <row r="379" spans="1:37" x14ac:dyDescent="0.35">
      <c r="A379" s="12">
        <v>379</v>
      </c>
      <c r="C379">
        <v>40</v>
      </c>
      <c r="E379" s="2">
        <v>9</v>
      </c>
      <c r="F379" s="2">
        <v>4</v>
      </c>
      <c r="G379" t="s">
        <v>66</v>
      </c>
      <c r="H379" t="s">
        <v>323</v>
      </c>
      <c r="J379" s="14">
        <f t="shared" si="28"/>
        <v>500.7</v>
      </c>
      <c r="K379">
        <v>1600</v>
      </c>
      <c r="N379" t="s">
        <v>54</v>
      </c>
      <c r="Q379">
        <v>5</v>
      </c>
      <c r="U379">
        <v>3</v>
      </c>
      <c r="W379" t="s">
        <v>759</v>
      </c>
      <c r="X379" t="s">
        <v>40</v>
      </c>
      <c r="Y379" t="s">
        <v>40</v>
      </c>
      <c r="Z379" t="s">
        <v>760</v>
      </c>
      <c r="AA379">
        <f t="shared" si="24"/>
        <v>50.07</v>
      </c>
      <c r="AB379" s="26">
        <v>157.30000000000001</v>
      </c>
      <c r="AI379" t="e">
        <f>IF(Y379="Yes",NA(),#REF!)</f>
        <v>#N/A</v>
      </c>
      <c r="AJ379" t="e">
        <f>IF(Y379="Yes",NA(),#REF!)</f>
        <v>#N/A</v>
      </c>
      <c r="AK379" t="e">
        <f>IF(Y379="Yes",NA(),#REF!)</f>
        <v>#N/A</v>
      </c>
    </row>
    <row r="380" spans="1:37" x14ac:dyDescent="0.35">
      <c r="A380" s="12">
        <v>380</v>
      </c>
      <c r="C380">
        <v>40</v>
      </c>
      <c r="E380" s="2" t="s">
        <v>761</v>
      </c>
      <c r="F380" s="2" t="s">
        <v>92</v>
      </c>
      <c r="G380" t="s">
        <v>114</v>
      </c>
      <c r="H380" t="s">
        <v>35</v>
      </c>
      <c r="J380" s="14">
        <f t="shared" si="28"/>
        <v>253.1</v>
      </c>
      <c r="K380">
        <v>1300</v>
      </c>
      <c r="N380" t="s">
        <v>54</v>
      </c>
      <c r="Q380" t="s">
        <v>38</v>
      </c>
      <c r="U380">
        <v>3</v>
      </c>
      <c r="W380" t="s">
        <v>762</v>
      </c>
      <c r="X380" t="s">
        <v>40</v>
      </c>
      <c r="Y380" t="s">
        <v>40</v>
      </c>
      <c r="AA380">
        <f t="shared" si="24"/>
        <v>25.31</v>
      </c>
      <c r="AB380">
        <v>79.5</v>
      </c>
      <c r="AC380">
        <f>PI()*(AB380/2)*(AB380/2)/10000</f>
        <v>0.49639127422127222</v>
      </c>
      <c r="AI380" t="e">
        <f>IF(Y380="Yes",NA(),#REF!)</f>
        <v>#N/A</v>
      </c>
      <c r="AJ380" t="e">
        <f>IF(Y380="Yes",NA(),#REF!)</f>
        <v>#N/A</v>
      </c>
      <c r="AK380" t="e">
        <f>IF(Y380="Yes",NA(),#REF!)</f>
        <v>#N/A</v>
      </c>
    </row>
    <row r="381" spans="1:37" x14ac:dyDescent="0.35">
      <c r="A381" s="12">
        <v>381</v>
      </c>
      <c r="C381">
        <v>40</v>
      </c>
      <c r="E381" s="2">
        <v>6</v>
      </c>
      <c r="F381" s="2" t="s">
        <v>174</v>
      </c>
      <c r="G381" t="s">
        <v>89</v>
      </c>
      <c r="H381" t="s">
        <v>90</v>
      </c>
      <c r="J381" s="14">
        <f t="shared" si="28"/>
        <v>157.6</v>
      </c>
      <c r="K381">
        <v>1300</v>
      </c>
      <c r="N381" t="s">
        <v>54</v>
      </c>
      <c r="Q381" t="s">
        <v>134</v>
      </c>
      <c r="U381">
        <v>3</v>
      </c>
      <c r="W381" t="s">
        <v>763</v>
      </c>
      <c r="X381" t="s">
        <v>40</v>
      </c>
      <c r="Y381" t="s">
        <v>40</v>
      </c>
      <c r="Z381" t="s">
        <v>764</v>
      </c>
      <c r="AA381">
        <f t="shared" si="24"/>
        <v>15.76</v>
      </c>
      <c r="AB381">
        <v>49.5</v>
      </c>
      <c r="AC381">
        <f>PI()*(AB381/2)*(AB381/2)/10000</f>
        <v>0.19244218498645979</v>
      </c>
      <c r="AI381" t="e">
        <f>IF(Y381="Yes",NA(),#REF!)</f>
        <v>#N/A</v>
      </c>
      <c r="AJ381" t="e">
        <f>IF(Y381="Yes",NA(),#REF!)</f>
        <v>#N/A</v>
      </c>
      <c r="AK381" t="e">
        <f>IF(Y381="Yes",NA(),#REF!)</f>
        <v>#N/A</v>
      </c>
    </row>
    <row r="382" spans="1:37" x14ac:dyDescent="0.35">
      <c r="A382" s="12">
        <v>382</v>
      </c>
      <c r="C382">
        <v>40</v>
      </c>
      <c r="E382" s="2" t="s">
        <v>79</v>
      </c>
      <c r="F382" s="2" t="s">
        <v>111</v>
      </c>
      <c r="G382" t="s">
        <v>70</v>
      </c>
      <c r="H382" t="s">
        <v>71</v>
      </c>
      <c r="J382" s="14">
        <f t="shared" si="28"/>
        <v>180.79999999999998</v>
      </c>
      <c r="K382">
        <v>1300</v>
      </c>
      <c r="N382" t="s">
        <v>54</v>
      </c>
      <c r="Q382" t="s">
        <v>38</v>
      </c>
      <c r="U382">
        <v>4</v>
      </c>
      <c r="W382" t="s">
        <v>765</v>
      </c>
      <c r="X382" t="s">
        <v>40</v>
      </c>
      <c r="Y382" t="s">
        <v>40</v>
      </c>
      <c r="AA382">
        <f t="shared" si="24"/>
        <v>18.079999999999998</v>
      </c>
      <c r="AB382">
        <v>56.8</v>
      </c>
      <c r="AC382">
        <f>PI()*(AB382/2)*(AB382/2)/10000</f>
        <v>0.25338829706793831</v>
      </c>
      <c r="AI382" t="e">
        <f>IF(Y382="Yes",NA(),#REF!)</f>
        <v>#N/A</v>
      </c>
      <c r="AJ382" t="e">
        <f>IF(Y382="Yes",NA(),#REF!)</f>
        <v>#N/A</v>
      </c>
      <c r="AK382" t="e">
        <f>IF(Y382="Yes",NA(),#REF!)</f>
        <v>#N/A</v>
      </c>
    </row>
    <row r="383" spans="1:37" x14ac:dyDescent="0.35">
      <c r="A383" s="12">
        <v>383</v>
      </c>
      <c r="C383">
        <v>41</v>
      </c>
      <c r="E383" s="2" t="s">
        <v>174</v>
      </c>
      <c r="F383" s="2" t="s">
        <v>75</v>
      </c>
      <c r="G383" t="s">
        <v>114</v>
      </c>
      <c r="H383" t="s">
        <v>35</v>
      </c>
      <c r="J383" s="14">
        <f t="shared" si="28"/>
        <v>290.3</v>
      </c>
      <c r="K383">
        <v>1300</v>
      </c>
      <c r="N383" t="s">
        <v>54</v>
      </c>
      <c r="Q383">
        <v>4</v>
      </c>
      <c r="U383">
        <v>3</v>
      </c>
      <c r="W383" t="s">
        <v>766</v>
      </c>
      <c r="X383" t="s">
        <v>40</v>
      </c>
      <c r="Y383" t="s">
        <v>40</v>
      </c>
      <c r="AA383">
        <f t="shared" si="24"/>
        <v>29.03</v>
      </c>
      <c r="AB383">
        <v>91.2</v>
      </c>
      <c r="AC383">
        <f>PI()*(AB383/2)*(AB383/2)/10000</f>
        <v>0.65325021001684724</v>
      </c>
      <c r="AI383" t="e">
        <f>IF(Y383="Yes",NA(),#REF!)</f>
        <v>#N/A</v>
      </c>
      <c r="AJ383" t="e">
        <f>IF(Y383="Yes",NA(),#REF!)</f>
        <v>#N/A</v>
      </c>
      <c r="AK383" t="e">
        <f>IF(Y383="Yes",NA(),#REF!)</f>
        <v>#N/A</v>
      </c>
    </row>
    <row r="384" spans="1:37" x14ac:dyDescent="0.35">
      <c r="A384" s="12">
        <v>384</v>
      </c>
      <c r="C384">
        <v>41</v>
      </c>
      <c r="E384" s="2" t="s">
        <v>33</v>
      </c>
      <c r="F384" s="2">
        <v>5</v>
      </c>
      <c r="G384" t="s">
        <v>47</v>
      </c>
      <c r="H384" t="s">
        <v>767</v>
      </c>
      <c r="J384" s="14">
        <f t="shared" si="28"/>
        <v>169.7</v>
      </c>
      <c r="K384">
        <v>1300</v>
      </c>
      <c r="N384" t="s">
        <v>54</v>
      </c>
      <c r="Q384" t="s">
        <v>259</v>
      </c>
      <c r="U384">
        <v>4</v>
      </c>
      <c r="W384" t="s">
        <v>768</v>
      </c>
      <c r="X384" t="s">
        <v>40</v>
      </c>
      <c r="Y384" t="s">
        <v>40</v>
      </c>
      <c r="AA384">
        <f t="shared" si="24"/>
        <v>16.97</v>
      </c>
      <c r="AB384" s="26">
        <v>53.3</v>
      </c>
      <c r="AC384">
        <f>PI()*(AB384/2)*(AB384/2)/10000</f>
        <v>0.22312297884141766</v>
      </c>
      <c r="AI384" t="e">
        <f>IF(Y384="Yes",NA(),#REF!)</f>
        <v>#N/A</v>
      </c>
      <c r="AJ384" t="e">
        <f>IF(Y384="Yes",NA(),#REF!)</f>
        <v>#N/A</v>
      </c>
      <c r="AK384" t="e">
        <f>IF(Y384="Yes",NA(),#REF!)</f>
        <v>#N/A</v>
      </c>
    </row>
    <row r="385" spans="1:37" x14ac:dyDescent="0.35">
      <c r="A385" s="12">
        <v>385</v>
      </c>
      <c r="C385">
        <v>41</v>
      </c>
      <c r="E385" s="2">
        <v>7</v>
      </c>
      <c r="F385" s="2" t="s">
        <v>174</v>
      </c>
      <c r="G385" t="s">
        <v>145</v>
      </c>
      <c r="H385" t="s">
        <v>393</v>
      </c>
      <c r="J385" s="14">
        <f t="shared" si="28"/>
        <v>312.89999999999998</v>
      </c>
      <c r="K385">
        <v>1700</v>
      </c>
      <c r="N385" t="s">
        <v>435</v>
      </c>
      <c r="Q385" t="s">
        <v>38</v>
      </c>
      <c r="U385">
        <v>3</v>
      </c>
      <c r="W385" t="s">
        <v>769</v>
      </c>
      <c r="X385" t="s">
        <v>40</v>
      </c>
      <c r="Y385" t="s">
        <v>40</v>
      </c>
      <c r="Z385" t="s">
        <v>770</v>
      </c>
      <c r="AA385">
        <f t="shared" si="24"/>
        <v>31.29</v>
      </c>
      <c r="AB385">
        <v>98.3</v>
      </c>
      <c r="AI385" t="e">
        <f>IF(Y385="Yes",NA(),#REF!)</f>
        <v>#N/A</v>
      </c>
      <c r="AJ385" t="e">
        <f>IF(Y385="Yes",NA(),#REF!)</f>
        <v>#N/A</v>
      </c>
      <c r="AK385" t="e">
        <f>IF(Y385="Yes",NA(),#REF!)</f>
        <v>#N/A</v>
      </c>
    </row>
    <row r="386" spans="1:37" x14ac:dyDescent="0.35">
      <c r="A386" s="12">
        <v>386</v>
      </c>
      <c r="C386">
        <v>41</v>
      </c>
      <c r="E386" s="2">
        <v>8</v>
      </c>
      <c r="F386" s="2">
        <v>3</v>
      </c>
      <c r="G386" t="s">
        <v>114</v>
      </c>
      <c r="H386" t="s">
        <v>35</v>
      </c>
      <c r="J386" s="14">
        <f t="shared" si="28"/>
        <v>243.79999999999998</v>
      </c>
      <c r="K386">
        <v>1300</v>
      </c>
      <c r="N386" t="s">
        <v>54</v>
      </c>
      <c r="Q386">
        <v>4</v>
      </c>
      <c r="U386">
        <v>3</v>
      </c>
      <c r="W386" t="s">
        <v>771</v>
      </c>
      <c r="X386" t="s">
        <v>40</v>
      </c>
      <c r="Y386" t="s">
        <v>40</v>
      </c>
      <c r="AA386">
        <f t="shared" si="24"/>
        <v>24.38</v>
      </c>
      <c r="AB386">
        <v>76.599999999999994</v>
      </c>
      <c r="AC386">
        <f t="shared" ref="AC386:AC395" si="29">PI()*(AB386/2)*(AB386/2)/10000</f>
        <v>0.46083708476243307</v>
      </c>
      <c r="AI386" t="e">
        <f>IF(Y386="Yes",NA(),#REF!)</f>
        <v>#N/A</v>
      </c>
      <c r="AJ386" t="e">
        <f>IF(Y386="Yes",NA(),#REF!)</f>
        <v>#N/A</v>
      </c>
      <c r="AK386" t="e">
        <f>IF(Y386="Yes",NA(),#REF!)</f>
        <v>#N/A</v>
      </c>
    </row>
    <row r="387" spans="1:37" x14ac:dyDescent="0.35">
      <c r="A387" s="12">
        <v>387</v>
      </c>
      <c r="C387">
        <v>41</v>
      </c>
      <c r="E387" s="2" t="s">
        <v>58</v>
      </c>
      <c r="F387" s="2">
        <v>3</v>
      </c>
      <c r="G387" t="s">
        <v>34</v>
      </c>
      <c r="H387" t="s">
        <v>35</v>
      </c>
      <c r="J387" s="14">
        <f t="shared" si="28"/>
        <v>124.1</v>
      </c>
      <c r="K387">
        <v>1300</v>
      </c>
      <c r="N387" t="s">
        <v>54</v>
      </c>
      <c r="Q387">
        <v>1</v>
      </c>
      <c r="U387">
        <v>4</v>
      </c>
      <c r="W387" t="s">
        <v>772</v>
      </c>
      <c r="X387" t="s">
        <v>40</v>
      </c>
      <c r="Y387" t="s">
        <v>40</v>
      </c>
      <c r="AA387">
        <f t="shared" ref="AA387:AA450" si="30">ROUND(AB387/PI(), 2)</f>
        <v>12.41</v>
      </c>
      <c r="AB387">
        <v>39</v>
      </c>
      <c r="AC387">
        <f t="shared" si="29"/>
        <v>0.11945906065275187</v>
      </c>
      <c r="AI387" t="e">
        <f>IF(Y387="Yes",NA(),#REF!)</f>
        <v>#N/A</v>
      </c>
      <c r="AJ387" t="e">
        <f>IF(Y387="Yes",NA(),#REF!)</f>
        <v>#N/A</v>
      </c>
      <c r="AK387" t="e">
        <f>IF(Y387="Yes",NA(),#REF!)</f>
        <v>#N/A</v>
      </c>
    </row>
    <row r="388" spans="1:37" x14ac:dyDescent="0.35">
      <c r="A388" s="12">
        <v>388</v>
      </c>
      <c r="C388">
        <v>41</v>
      </c>
      <c r="E388" s="2" t="s">
        <v>490</v>
      </c>
      <c r="F388" s="2" t="s">
        <v>281</v>
      </c>
      <c r="G388" t="s">
        <v>63</v>
      </c>
      <c r="H388" t="s">
        <v>64</v>
      </c>
      <c r="J388" s="14">
        <f t="shared" si="28"/>
        <v>124.1</v>
      </c>
      <c r="K388">
        <v>1300</v>
      </c>
      <c r="N388" t="s">
        <v>54</v>
      </c>
      <c r="Q388">
        <v>1</v>
      </c>
      <c r="W388" t="s">
        <v>773</v>
      </c>
      <c r="AA388">
        <f t="shared" si="30"/>
        <v>12.41</v>
      </c>
      <c r="AB388" s="26">
        <v>39</v>
      </c>
      <c r="AC388">
        <f t="shared" si="29"/>
        <v>0.11945906065275187</v>
      </c>
      <c r="AI388" t="e">
        <f>IF(Y388="Yes",NA(),#REF!)</f>
        <v>#REF!</v>
      </c>
      <c r="AJ388" t="e">
        <f>IF(Y388="Yes",NA(),#REF!)</f>
        <v>#REF!</v>
      </c>
      <c r="AK388" t="e">
        <f>IF(Y388="Yes",NA(),#REF!)</f>
        <v>#REF!</v>
      </c>
    </row>
    <row r="389" spans="1:37" x14ac:dyDescent="0.35">
      <c r="A389" s="12">
        <v>389</v>
      </c>
      <c r="C389">
        <v>41</v>
      </c>
      <c r="E389" s="2">
        <v>7</v>
      </c>
      <c r="F389" s="2" t="s">
        <v>58</v>
      </c>
      <c r="G389" t="s">
        <v>114</v>
      </c>
      <c r="H389" t="s">
        <v>35</v>
      </c>
      <c r="I389" t="s">
        <v>774</v>
      </c>
      <c r="J389" s="14">
        <f t="shared" si="28"/>
        <v>227.60000000000002</v>
      </c>
      <c r="K389">
        <v>1300</v>
      </c>
      <c r="N389" t="s">
        <v>54</v>
      </c>
      <c r="Q389" t="s">
        <v>38</v>
      </c>
      <c r="U389">
        <v>3</v>
      </c>
      <c r="W389" t="s">
        <v>775</v>
      </c>
      <c r="X389" t="s">
        <v>40</v>
      </c>
      <c r="Y389" t="s">
        <v>40</v>
      </c>
      <c r="AA389">
        <f t="shared" si="30"/>
        <v>22.76</v>
      </c>
      <c r="AB389">
        <v>71.5</v>
      </c>
      <c r="AC389">
        <f t="shared" si="29"/>
        <v>0.40151517608286047</v>
      </c>
      <c r="AI389" t="e">
        <f>IF(Y389="Yes",NA(),#REF!)</f>
        <v>#N/A</v>
      </c>
      <c r="AJ389" t="e">
        <f>IF(Y389="Yes",NA(),#REF!)</f>
        <v>#N/A</v>
      </c>
      <c r="AK389" t="e">
        <f>IF(Y389="Yes",NA(),#REF!)</f>
        <v>#N/A</v>
      </c>
    </row>
    <row r="390" spans="1:37" x14ac:dyDescent="0.35">
      <c r="A390" s="12">
        <v>390</v>
      </c>
      <c r="C390">
        <v>41</v>
      </c>
      <c r="E390" s="2">
        <v>7</v>
      </c>
      <c r="F390" s="2" t="s">
        <v>51</v>
      </c>
      <c r="G390" t="s">
        <v>47</v>
      </c>
      <c r="H390" t="s">
        <v>53</v>
      </c>
      <c r="J390" s="14">
        <f t="shared" si="28"/>
        <v>251.5</v>
      </c>
      <c r="K390">
        <v>1300</v>
      </c>
      <c r="N390" t="s">
        <v>54</v>
      </c>
      <c r="Q390" t="s">
        <v>38</v>
      </c>
      <c r="U390">
        <v>2</v>
      </c>
      <c r="W390" t="s">
        <v>776</v>
      </c>
      <c r="X390" t="s">
        <v>40</v>
      </c>
      <c r="Y390" t="s">
        <v>40</v>
      </c>
      <c r="AA390">
        <f t="shared" si="30"/>
        <v>25.15</v>
      </c>
      <c r="AB390">
        <v>79</v>
      </c>
      <c r="AC390">
        <f t="shared" si="29"/>
        <v>0.49016699377634748</v>
      </c>
      <c r="AI390" t="e">
        <f>IF(Y390="Yes",NA(),#REF!)</f>
        <v>#N/A</v>
      </c>
      <c r="AJ390" t="e">
        <f>IF(Y390="Yes",NA(),#REF!)</f>
        <v>#N/A</v>
      </c>
      <c r="AK390" t="e">
        <f>IF(Y390="Yes",NA(),#REF!)</f>
        <v>#N/A</v>
      </c>
    </row>
    <row r="391" spans="1:37" x14ac:dyDescent="0.35">
      <c r="A391" s="12">
        <v>391</v>
      </c>
      <c r="C391">
        <v>42</v>
      </c>
      <c r="E391" s="2" t="s">
        <v>610</v>
      </c>
      <c r="F391" s="2" t="s">
        <v>111</v>
      </c>
      <c r="G391" t="s">
        <v>63</v>
      </c>
      <c r="H391" t="s">
        <v>64</v>
      </c>
      <c r="J391" s="14">
        <f t="shared" si="28"/>
        <v>106.6</v>
      </c>
      <c r="K391">
        <v>1300</v>
      </c>
      <c r="N391" t="s">
        <v>54</v>
      </c>
      <c r="Q391" t="s">
        <v>55</v>
      </c>
      <c r="W391" t="s">
        <v>777</v>
      </c>
      <c r="AA391">
        <f t="shared" si="30"/>
        <v>10.66</v>
      </c>
      <c r="AB391" s="26">
        <v>33.5</v>
      </c>
      <c r="AC391">
        <f t="shared" si="29"/>
        <v>8.8141308887278627E-2</v>
      </c>
      <c r="AI391" t="e">
        <f>IF(Y391="Yes",NA(),#REF!)</f>
        <v>#REF!</v>
      </c>
      <c r="AJ391" t="e">
        <f>IF(Y391="Yes",NA(),#REF!)</f>
        <v>#REF!</v>
      </c>
      <c r="AK391" t="e">
        <f>IF(Y391="Yes",NA(),#REF!)</f>
        <v>#REF!</v>
      </c>
    </row>
    <row r="392" spans="1:37" x14ac:dyDescent="0.35">
      <c r="A392" s="12">
        <v>392</v>
      </c>
      <c r="C392">
        <v>42</v>
      </c>
      <c r="E392" s="2" t="s">
        <v>281</v>
      </c>
      <c r="F392" s="2" t="s">
        <v>174</v>
      </c>
      <c r="G392" t="s">
        <v>47</v>
      </c>
      <c r="H392" t="s">
        <v>35</v>
      </c>
      <c r="J392" s="14">
        <f t="shared" si="28"/>
        <v>441.2</v>
      </c>
      <c r="K392">
        <v>1300</v>
      </c>
      <c r="N392" t="s">
        <v>778</v>
      </c>
      <c r="Q392">
        <v>4</v>
      </c>
      <c r="U392">
        <v>3</v>
      </c>
      <c r="W392" t="s">
        <v>779</v>
      </c>
      <c r="X392" t="s">
        <v>40</v>
      </c>
      <c r="Y392" t="s">
        <v>40</v>
      </c>
      <c r="AA392">
        <f t="shared" si="30"/>
        <v>44.12</v>
      </c>
      <c r="AB392">
        <v>138.6</v>
      </c>
      <c r="AC392">
        <f t="shared" si="29"/>
        <v>1.5087467302938444</v>
      </c>
      <c r="AI392" t="e">
        <f>IF(Y392="Yes",NA(),#REF!)</f>
        <v>#N/A</v>
      </c>
      <c r="AJ392" t="e">
        <f>IF(Y392="Yes",NA(),#REF!)</f>
        <v>#N/A</v>
      </c>
      <c r="AK392" t="e">
        <f>IF(Y392="Yes",NA(),#REF!)</f>
        <v>#N/A</v>
      </c>
    </row>
    <row r="393" spans="1:37" x14ac:dyDescent="0.35">
      <c r="A393" s="12">
        <v>393</v>
      </c>
      <c r="C393">
        <v>42</v>
      </c>
      <c r="E393" s="2" t="s">
        <v>58</v>
      </c>
      <c r="F393" s="2">
        <v>2</v>
      </c>
      <c r="G393" t="s">
        <v>137</v>
      </c>
      <c r="H393" t="s">
        <v>138</v>
      </c>
      <c r="J393" s="14">
        <f t="shared" si="28"/>
        <v>100.60000000000001</v>
      </c>
      <c r="K393">
        <v>1300</v>
      </c>
      <c r="N393" t="s">
        <v>54</v>
      </c>
      <c r="Q393">
        <v>1</v>
      </c>
      <c r="W393" t="s">
        <v>780</v>
      </c>
      <c r="X393" t="s">
        <v>40</v>
      </c>
      <c r="Y393" t="s">
        <v>40</v>
      </c>
      <c r="AA393">
        <f t="shared" si="30"/>
        <v>10.06</v>
      </c>
      <c r="AB393">
        <v>31.6</v>
      </c>
      <c r="AC393">
        <f t="shared" si="29"/>
        <v>7.8426719004215606E-2</v>
      </c>
      <c r="AI393" t="e">
        <f>IF(Y393="Yes",NA(),#REF!)</f>
        <v>#N/A</v>
      </c>
      <c r="AJ393" t="e">
        <f>IF(Y393="Yes",NA(),#REF!)</f>
        <v>#N/A</v>
      </c>
      <c r="AK393" t="e">
        <f>IF(Y393="Yes",NA(),#REF!)</f>
        <v>#N/A</v>
      </c>
    </row>
    <row r="394" spans="1:37" x14ac:dyDescent="0.35">
      <c r="A394" s="12">
        <v>394</v>
      </c>
      <c r="C394">
        <v>42</v>
      </c>
      <c r="E394" s="2">
        <v>9</v>
      </c>
      <c r="F394" s="2" t="s">
        <v>94</v>
      </c>
      <c r="G394" t="s">
        <v>47</v>
      </c>
      <c r="H394" t="s">
        <v>35</v>
      </c>
      <c r="J394" s="14">
        <f t="shared" si="28"/>
        <v>148</v>
      </c>
      <c r="K394">
        <v>1300</v>
      </c>
      <c r="N394" t="s">
        <v>54</v>
      </c>
      <c r="Q394" t="s">
        <v>134</v>
      </c>
      <c r="U394">
        <v>3</v>
      </c>
      <c r="W394" t="s">
        <v>781</v>
      </c>
      <c r="X394" t="s">
        <v>40</v>
      </c>
      <c r="Y394" t="s">
        <v>40</v>
      </c>
      <c r="AA394">
        <f t="shared" si="30"/>
        <v>14.8</v>
      </c>
      <c r="AB394">
        <v>46.5</v>
      </c>
      <c r="AC394">
        <f t="shared" si="29"/>
        <v>0.16982271788061323</v>
      </c>
      <c r="AI394" t="e">
        <f>IF(Y394="Yes",NA(),#REF!)</f>
        <v>#N/A</v>
      </c>
      <c r="AJ394" t="e">
        <f>IF(Y394="Yes",NA(),#REF!)</f>
        <v>#N/A</v>
      </c>
      <c r="AK394" t="e">
        <f>IF(Y394="Yes",NA(),#REF!)</f>
        <v>#N/A</v>
      </c>
    </row>
    <row r="395" spans="1:37" x14ac:dyDescent="0.35">
      <c r="A395" s="12">
        <v>395</v>
      </c>
      <c r="C395">
        <v>42</v>
      </c>
      <c r="E395" s="2" t="s">
        <v>756</v>
      </c>
      <c r="F395" s="2" t="s">
        <v>174</v>
      </c>
      <c r="G395" t="s">
        <v>89</v>
      </c>
      <c r="H395" t="s">
        <v>90</v>
      </c>
      <c r="J395" s="14">
        <f t="shared" si="28"/>
        <v>110.5</v>
      </c>
      <c r="K395">
        <v>1300</v>
      </c>
      <c r="N395" t="s">
        <v>54</v>
      </c>
      <c r="Q395" t="s">
        <v>134</v>
      </c>
      <c r="U395">
        <v>3</v>
      </c>
      <c r="W395" t="s">
        <v>782</v>
      </c>
      <c r="X395" t="s">
        <v>40</v>
      </c>
      <c r="Y395" t="s">
        <v>40</v>
      </c>
      <c r="AA395">
        <f t="shared" si="30"/>
        <v>11.05</v>
      </c>
      <c r="AB395">
        <v>34.700000000000003</v>
      </c>
      <c r="AC395">
        <f t="shared" si="29"/>
        <v>9.4569007456523371E-2</v>
      </c>
      <c r="AI395" t="e">
        <f>IF(Y395="Yes",NA(),#REF!)</f>
        <v>#N/A</v>
      </c>
      <c r="AJ395" t="e">
        <f>IF(Y395="Yes",NA(),#REF!)</f>
        <v>#N/A</v>
      </c>
      <c r="AK395" t="e">
        <f>IF(Y395="Yes",NA(),#REF!)</f>
        <v>#N/A</v>
      </c>
    </row>
    <row r="396" spans="1:37" x14ac:dyDescent="0.35">
      <c r="A396" s="12">
        <v>396</v>
      </c>
      <c r="C396">
        <v>42</v>
      </c>
      <c r="E396" s="23" t="s">
        <v>490</v>
      </c>
      <c r="F396" s="23" t="s">
        <v>94</v>
      </c>
      <c r="G396" t="s">
        <v>59</v>
      </c>
      <c r="H396" t="s">
        <v>304</v>
      </c>
      <c r="J396" s="14">
        <f t="shared" si="28"/>
        <v>485.4</v>
      </c>
      <c r="K396">
        <v>1600</v>
      </c>
      <c r="N396" t="s">
        <v>61</v>
      </c>
      <c r="Q396">
        <v>5</v>
      </c>
      <c r="U396">
        <v>3</v>
      </c>
      <c r="W396" t="s">
        <v>783</v>
      </c>
      <c r="X396" t="s">
        <v>40</v>
      </c>
      <c r="Y396" t="s">
        <v>40</v>
      </c>
      <c r="Z396" t="s">
        <v>784</v>
      </c>
      <c r="AA396">
        <f t="shared" si="30"/>
        <v>48.54</v>
      </c>
      <c r="AB396" s="26">
        <v>152.5</v>
      </c>
      <c r="AI396" t="e">
        <f>IF(Y396="Yes",NA(),#REF!)</f>
        <v>#N/A</v>
      </c>
      <c r="AJ396" t="e">
        <f>IF(Y396="Yes",NA(),#REF!)</f>
        <v>#N/A</v>
      </c>
      <c r="AK396" t="e">
        <f>IF(Y396="Yes",NA(),#REF!)</f>
        <v>#N/A</v>
      </c>
    </row>
    <row r="397" spans="1:37" x14ac:dyDescent="0.35">
      <c r="A397" s="12">
        <v>397</v>
      </c>
      <c r="C397">
        <v>42</v>
      </c>
      <c r="E397" s="2">
        <v>9</v>
      </c>
      <c r="F397" s="2">
        <v>8</v>
      </c>
      <c r="G397" t="s">
        <v>104</v>
      </c>
      <c r="H397" t="s">
        <v>158</v>
      </c>
      <c r="J397" s="14">
        <f t="shared" si="28"/>
        <v>257.8</v>
      </c>
      <c r="K397">
        <v>1300</v>
      </c>
      <c r="N397" t="s">
        <v>54</v>
      </c>
      <c r="Q397">
        <v>4</v>
      </c>
      <c r="U397">
        <v>5</v>
      </c>
      <c r="W397" t="s">
        <v>785</v>
      </c>
      <c r="X397" t="s">
        <v>40</v>
      </c>
      <c r="Y397" t="s">
        <v>40</v>
      </c>
      <c r="Z397" t="s">
        <v>786</v>
      </c>
      <c r="AA397">
        <f t="shared" si="30"/>
        <v>25.78</v>
      </c>
      <c r="AB397">
        <v>81</v>
      </c>
      <c r="AC397">
        <f t="shared" ref="AC397:AC425" si="31">PI()*(AB397/2)*(AB397/2)/10000</f>
        <v>0.51529973500506576</v>
      </c>
      <c r="AI397" t="e">
        <f>IF(Y397="Yes",NA(),#REF!)</f>
        <v>#N/A</v>
      </c>
      <c r="AJ397" t="e">
        <f>IF(Y397="Yes",NA(),#REF!)</f>
        <v>#N/A</v>
      </c>
      <c r="AK397" t="e">
        <f>IF(Y397="Yes",NA(),#REF!)</f>
        <v>#N/A</v>
      </c>
    </row>
    <row r="398" spans="1:37" x14ac:dyDescent="0.35">
      <c r="A398" s="12">
        <v>398</v>
      </c>
      <c r="C398">
        <v>42</v>
      </c>
      <c r="E398" s="2" t="s">
        <v>111</v>
      </c>
      <c r="F398" s="2">
        <v>8</v>
      </c>
      <c r="G398" t="s">
        <v>1521</v>
      </c>
      <c r="H398" t="s">
        <v>1523</v>
      </c>
      <c r="J398" s="14">
        <f t="shared" si="28"/>
        <v>111.1</v>
      </c>
      <c r="K398">
        <v>1300</v>
      </c>
      <c r="N398" t="s">
        <v>54</v>
      </c>
      <c r="Q398">
        <v>1</v>
      </c>
      <c r="U398">
        <v>4</v>
      </c>
      <c r="W398" t="s">
        <v>787</v>
      </c>
      <c r="X398" t="s">
        <v>40</v>
      </c>
      <c r="Y398" t="s">
        <v>40</v>
      </c>
      <c r="AA398">
        <f t="shared" si="30"/>
        <v>11.11</v>
      </c>
      <c r="AB398">
        <v>34.9</v>
      </c>
      <c r="AC398">
        <f t="shared" si="31"/>
        <v>9.5662281699972582E-2</v>
      </c>
      <c r="AI398" t="e">
        <f>IF(Y398="Yes",NA(),#REF!)</f>
        <v>#N/A</v>
      </c>
      <c r="AJ398" t="e">
        <f>IF(Y398="Yes",NA(),#REF!)</f>
        <v>#N/A</v>
      </c>
      <c r="AK398" t="e">
        <f>IF(Y398="Yes",NA(),#REF!)</f>
        <v>#N/A</v>
      </c>
    </row>
    <row r="399" spans="1:37" x14ac:dyDescent="0.35">
      <c r="A399" s="12">
        <v>399</v>
      </c>
      <c r="C399">
        <v>43</v>
      </c>
      <c r="E399" s="2" t="s">
        <v>79</v>
      </c>
      <c r="F399" s="2">
        <v>4</v>
      </c>
      <c r="G399" t="s">
        <v>114</v>
      </c>
      <c r="H399" t="s">
        <v>35</v>
      </c>
      <c r="J399" s="14">
        <f t="shared" si="28"/>
        <v>455.20000000000005</v>
      </c>
      <c r="K399">
        <v>1300</v>
      </c>
      <c r="N399" t="s">
        <v>54</v>
      </c>
      <c r="Q399">
        <v>5</v>
      </c>
      <c r="U399">
        <v>3</v>
      </c>
      <c r="W399" t="s">
        <v>788</v>
      </c>
      <c r="X399" t="s">
        <v>40</v>
      </c>
      <c r="Y399" t="s">
        <v>40</v>
      </c>
      <c r="Z399" t="s">
        <v>789</v>
      </c>
      <c r="AA399">
        <f t="shared" si="30"/>
        <v>45.52</v>
      </c>
      <c r="AB399">
        <v>143</v>
      </c>
      <c r="AC399">
        <f t="shared" si="31"/>
        <v>1.6060607043314419</v>
      </c>
      <c r="AI399" t="e">
        <f>IF(Y399="Yes",NA(),#REF!)</f>
        <v>#N/A</v>
      </c>
      <c r="AJ399" t="e">
        <f>IF(Y399="Yes",NA(),#REF!)</f>
        <v>#N/A</v>
      </c>
      <c r="AK399" t="e">
        <f>IF(Y399="Yes",NA(),#REF!)</f>
        <v>#N/A</v>
      </c>
    </row>
    <row r="400" spans="1:37" x14ac:dyDescent="0.35">
      <c r="A400" s="12">
        <v>400</v>
      </c>
      <c r="C400">
        <v>43</v>
      </c>
      <c r="E400" s="2" t="s">
        <v>58</v>
      </c>
      <c r="F400" s="2">
        <v>6</v>
      </c>
      <c r="G400" t="s">
        <v>63</v>
      </c>
      <c r="H400" t="s">
        <v>64</v>
      </c>
      <c r="J400" s="14">
        <f t="shared" si="28"/>
        <v>111.4</v>
      </c>
      <c r="K400">
        <v>1300</v>
      </c>
      <c r="N400" t="s">
        <v>54</v>
      </c>
      <c r="Q400">
        <v>1</v>
      </c>
      <c r="W400" t="s">
        <v>790</v>
      </c>
      <c r="AA400">
        <f t="shared" si="30"/>
        <v>11.14</v>
      </c>
      <c r="AB400" s="26">
        <v>35</v>
      </c>
      <c r="AC400">
        <f t="shared" si="31"/>
        <v>9.6211275016187411E-2</v>
      </c>
      <c r="AI400" t="e">
        <f>IF(Y400="Yes",NA(),#REF!)</f>
        <v>#REF!</v>
      </c>
      <c r="AJ400" t="e">
        <f>IF(Y400="Yes",NA(),#REF!)</f>
        <v>#REF!</v>
      </c>
      <c r="AK400" t="e">
        <f>IF(Y400="Yes",NA(),#REF!)</f>
        <v>#REF!</v>
      </c>
    </row>
    <row r="401" spans="1:37" x14ac:dyDescent="0.35">
      <c r="A401" s="12">
        <v>401</v>
      </c>
      <c r="C401">
        <v>43</v>
      </c>
      <c r="E401" s="2" t="s">
        <v>58</v>
      </c>
      <c r="F401" s="2">
        <v>7</v>
      </c>
      <c r="G401" t="s">
        <v>47</v>
      </c>
      <c r="H401" t="s">
        <v>791</v>
      </c>
      <c r="J401" s="14">
        <f t="shared" si="28"/>
        <v>152.79999999999998</v>
      </c>
      <c r="K401">
        <v>1300</v>
      </c>
      <c r="N401" t="s">
        <v>54</v>
      </c>
      <c r="Q401">
        <v>1</v>
      </c>
      <c r="U401">
        <v>4</v>
      </c>
      <c r="W401" t="s">
        <v>792</v>
      </c>
      <c r="X401" t="s">
        <v>40</v>
      </c>
      <c r="Y401" t="s">
        <v>40</v>
      </c>
      <c r="AA401">
        <f t="shared" si="30"/>
        <v>15.28</v>
      </c>
      <c r="AB401">
        <v>48</v>
      </c>
      <c r="AC401">
        <f t="shared" si="31"/>
        <v>0.18095573684677208</v>
      </c>
      <c r="AI401" t="e">
        <f>IF(Y401="Yes",NA(),#REF!)</f>
        <v>#N/A</v>
      </c>
      <c r="AJ401" t="e">
        <f>IF(Y401="Yes",NA(),#REF!)</f>
        <v>#N/A</v>
      </c>
      <c r="AK401" t="e">
        <f>IF(Y401="Yes",NA(),#REF!)</f>
        <v>#N/A</v>
      </c>
    </row>
    <row r="402" spans="1:37" x14ac:dyDescent="0.35">
      <c r="A402" s="12">
        <v>402</v>
      </c>
      <c r="C402">
        <v>43</v>
      </c>
      <c r="E402" s="2">
        <v>7</v>
      </c>
      <c r="F402" s="2">
        <v>9</v>
      </c>
      <c r="G402" t="s">
        <v>63</v>
      </c>
      <c r="H402" t="s">
        <v>64</v>
      </c>
      <c r="J402" s="14">
        <f t="shared" si="28"/>
        <v>125.7</v>
      </c>
      <c r="K402">
        <v>1300</v>
      </c>
      <c r="N402" t="s">
        <v>54</v>
      </c>
      <c r="Q402" t="s">
        <v>55</v>
      </c>
      <c r="W402" t="s">
        <v>793</v>
      </c>
      <c r="AA402">
        <f t="shared" si="30"/>
        <v>12.57</v>
      </c>
      <c r="AB402" s="26">
        <v>39.5</v>
      </c>
      <c r="AC402">
        <f t="shared" si="31"/>
        <v>0.12254174844408687</v>
      </c>
      <c r="AI402" t="e">
        <f>IF(Y402="Yes",NA(),#REF!)</f>
        <v>#REF!</v>
      </c>
      <c r="AJ402" t="e">
        <f>IF(Y402="Yes",NA(),#REF!)</f>
        <v>#REF!</v>
      </c>
      <c r="AK402" t="e">
        <f>IF(Y402="Yes",NA(),#REF!)</f>
        <v>#REF!</v>
      </c>
    </row>
    <row r="403" spans="1:37" x14ac:dyDescent="0.35">
      <c r="A403" s="12">
        <v>403</v>
      </c>
      <c r="C403">
        <v>43</v>
      </c>
      <c r="E403" s="2" t="s">
        <v>281</v>
      </c>
      <c r="F403" s="2">
        <v>7</v>
      </c>
      <c r="G403" t="s">
        <v>114</v>
      </c>
      <c r="H403" t="s">
        <v>35</v>
      </c>
      <c r="I403" t="s">
        <v>794</v>
      </c>
      <c r="J403" s="14">
        <f t="shared" si="28"/>
        <v>126.1</v>
      </c>
      <c r="K403">
        <v>1300</v>
      </c>
      <c r="N403" t="s">
        <v>54</v>
      </c>
      <c r="Q403">
        <v>1</v>
      </c>
      <c r="U403">
        <v>3</v>
      </c>
      <c r="W403" t="s">
        <v>795</v>
      </c>
      <c r="X403" t="s">
        <v>40</v>
      </c>
      <c r="Y403" t="s">
        <v>40</v>
      </c>
      <c r="Z403" t="s">
        <v>796</v>
      </c>
      <c r="AA403">
        <f t="shared" si="30"/>
        <v>12.61</v>
      </c>
      <c r="AB403">
        <v>39.6</v>
      </c>
      <c r="AC403">
        <f t="shared" si="31"/>
        <v>0.12316299839133425</v>
      </c>
      <c r="AI403" t="e">
        <f>IF(Y403="Yes",NA(),#REF!)</f>
        <v>#N/A</v>
      </c>
      <c r="AJ403" t="e">
        <f>IF(Y403="Yes",NA(),#REF!)</f>
        <v>#N/A</v>
      </c>
      <c r="AK403" t="e">
        <f>IF(Y403="Yes",NA(),#REF!)</f>
        <v>#N/A</v>
      </c>
    </row>
    <row r="404" spans="1:37" x14ac:dyDescent="0.35">
      <c r="A404" s="12">
        <v>404</v>
      </c>
      <c r="C404">
        <v>43</v>
      </c>
      <c r="E404" s="2" t="s">
        <v>281</v>
      </c>
      <c r="F404" s="2">
        <v>6</v>
      </c>
      <c r="G404" t="s">
        <v>63</v>
      </c>
      <c r="H404" t="s">
        <v>64</v>
      </c>
      <c r="J404" s="14">
        <f t="shared" si="28"/>
        <v>114.60000000000001</v>
      </c>
      <c r="K404">
        <v>1300</v>
      </c>
      <c r="N404" t="s">
        <v>54</v>
      </c>
      <c r="Q404" t="s">
        <v>38</v>
      </c>
      <c r="W404" t="s">
        <v>797</v>
      </c>
      <c r="AA404">
        <f t="shared" si="30"/>
        <v>11.46</v>
      </c>
      <c r="AB404" s="31">
        <v>36</v>
      </c>
      <c r="AC404">
        <f t="shared" si="31"/>
        <v>0.10178760197630929</v>
      </c>
      <c r="AI404" t="e">
        <f>IF(Y404="Yes",NA(),#REF!)</f>
        <v>#REF!</v>
      </c>
      <c r="AJ404" t="e">
        <f>IF(Y404="Yes",NA(),#REF!)</f>
        <v>#REF!</v>
      </c>
      <c r="AK404" t="e">
        <f>IF(Y404="Yes",NA(),#REF!)</f>
        <v>#REF!</v>
      </c>
    </row>
    <row r="405" spans="1:37" x14ac:dyDescent="0.35">
      <c r="A405" s="12">
        <v>405</v>
      </c>
      <c r="C405">
        <v>43</v>
      </c>
      <c r="E405" s="2">
        <v>2</v>
      </c>
      <c r="F405" s="2" t="s">
        <v>51</v>
      </c>
      <c r="G405" t="s">
        <v>213</v>
      </c>
      <c r="H405" t="s">
        <v>348</v>
      </c>
      <c r="J405" s="14">
        <f t="shared" si="28"/>
        <v>134</v>
      </c>
      <c r="K405">
        <v>1300</v>
      </c>
      <c r="N405" t="s">
        <v>54</v>
      </c>
      <c r="Q405" t="s">
        <v>55</v>
      </c>
      <c r="U405">
        <v>5</v>
      </c>
      <c r="W405" t="s">
        <v>798</v>
      </c>
      <c r="X405" t="s">
        <v>40</v>
      </c>
      <c r="Y405" t="s">
        <v>40</v>
      </c>
      <c r="AA405">
        <f t="shared" si="30"/>
        <v>13.4</v>
      </c>
      <c r="AB405" s="26">
        <v>42.1</v>
      </c>
      <c r="AC405">
        <f t="shared" si="31"/>
        <v>0.13920475587872713</v>
      </c>
      <c r="AI405" t="e">
        <f>IF(Y405="Yes",NA(),#REF!)</f>
        <v>#N/A</v>
      </c>
      <c r="AJ405" t="e">
        <f>IF(Y405="Yes",NA(),#REF!)</f>
        <v>#N/A</v>
      </c>
      <c r="AK405" t="e">
        <f>IF(Y405="Yes",NA(),#REF!)</f>
        <v>#N/A</v>
      </c>
    </row>
    <row r="406" spans="1:37" x14ac:dyDescent="0.35">
      <c r="A406" s="12">
        <v>406</v>
      </c>
      <c r="C406">
        <v>44</v>
      </c>
      <c r="E406" s="2" t="s">
        <v>79</v>
      </c>
      <c r="F406" s="2" t="s">
        <v>111</v>
      </c>
      <c r="G406" t="s">
        <v>178</v>
      </c>
      <c r="H406" t="s">
        <v>294</v>
      </c>
      <c r="J406" s="14">
        <f t="shared" si="28"/>
        <v>211</v>
      </c>
      <c r="K406">
        <v>1300</v>
      </c>
      <c r="N406" t="s">
        <v>54</v>
      </c>
      <c r="Q406">
        <v>5</v>
      </c>
      <c r="U406">
        <v>3</v>
      </c>
      <c r="W406" t="s">
        <v>799</v>
      </c>
      <c r="X406" t="s">
        <v>40</v>
      </c>
      <c r="Y406" t="s">
        <v>40</v>
      </c>
      <c r="Z406" t="s">
        <v>800</v>
      </c>
      <c r="AA406">
        <f t="shared" si="30"/>
        <v>21.1</v>
      </c>
      <c r="AB406">
        <v>66.3</v>
      </c>
      <c r="AC406">
        <f t="shared" si="31"/>
        <v>0.34523668528645296</v>
      </c>
      <c r="AI406" t="e">
        <f>IF(Y406="Yes",NA(),#REF!)</f>
        <v>#N/A</v>
      </c>
      <c r="AJ406" t="e">
        <f>IF(Y406="Yes",NA(),#REF!)</f>
        <v>#N/A</v>
      </c>
      <c r="AK406" t="e">
        <f>IF(Y406="Yes",NA(),#REF!)</f>
        <v>#N/A</v>
      </c>
    </row>
    <row r="407" spans="1:37" x14ac:dyDescent="0.35">
      <c r="A407" s="12">
        <v>407</v>
      </c>
      <c r="C407">
        <v>44</v>
      </c>
      <c r="E407" s="2">
        <v>3</v>
      </c>
      <c r="F407" s="2" t="s">
        <v>121</v>
      </c>
      <c r="G407" t="s">
        <v>63</v>
      </c>
      <c r="H407" t="s">
        <v>64</v>
      </c>
      <c r="J407" s="14">
        <f t="shared" si="28"/>
        <v>128.9</v>
      </c>
      <c r="K407">
        <v>1300</v>
      </c>
      <c r="N407" t="s">
        <v>54</v>
      </c>
      <c r="Q407">
        <v>4</v>
      </c>
      <c r="W407" t="s">
        <v>801</v>
      </c>
      <c r="AA407">
        <f t="shared" si="30"/>
        <v>12.89</v>
      </c>
      <c r="AB407">
        <v>40.5</v>
      </c>
      <c r="AC407">
        <f t="shared" si="31"/>
        <v>0.12882493375126644</v>
      </c>
      <c r="AI407" t="e">
        <f>IF(Y407="Yes",NA(),#REF!)</f>
        <v>#REF!</v>
      </c>
      <c r="AJ407" t="e">
        <f>IF(Y407="Yes",NA(),#REF!)</f>
        <v>#REF!</v>
      </c>
      <c r="AK407" t="e">
        <f>IF(Y407="Yes",NA(),#REF!)</f>
        <v>#REF!</v>
      </c>
    </row>
    <row r="408" spans="1:37" x14ac:dyDescent="0.35">
      <c r="A408" s="12">
        <v>408</v>
      </c>
      <c r="C408">
        <v>44</v>
      </c>
      <c r="E408" s="2" t="s">
        <v>75</v>
      </c>
      <c r="F408" s="2">
        <v>3</v>
      </c>
      <c r="G408" t="s">
        <v>63</v>
      </c>
      <c r="H408" t="s">
        <v>64</v>
      </c>
      <c r="J408" s="14">
        <f t="shared" si="28"/>
        <v>115.9</v>
      </c>
      <c r="K408">
        <v>1300</v>
      </c>
      <c r="N408" t="s">
        <v>54</v>
      </c>
      <c r="Q408" t="s">
        <v>38</v>
      </c>
      <c r="W408" t="s">
        <v>802</v>
      </c>
      <c r="AA408">
        <f t="shared" si="30"/>
        <v>11.59</v>
      </c>
      <c r="AB408">
        <v>36.4</v>
      </c>
      <c r="AC408">
        <f t="shared" si="31"/>
        <v>0.1040621150575083</v>
      </c>
      <c r="AI408" t="e">
        <f>IF(Y408="Yes",NA(),#REF!)</f>
        <v>#REF!</v>
      </c>
      <c r="AJ408" t="e">
        <f>IF(Y408="Yes",NA(),#REF!)</f>
        <v>#REF!</v>
      </c>
      <c r="AK408" t="e">
        <f>IF(Y408="Yes",NA(),#REF!)</f>
        <v>#REF!</v>
      </c>
    </row>
    <row r="409" spans="1:37" x14ac:dyDescent="0.35">
      <c r="A409" s="12">
        <v>409</v>
      </c>
      <c r="C409">
        <v>44</v>
      </c>
      <c r="E409" s="2">
        <v>6</v>
      </c>
      <c r="F409" s="2" t="s">
        <v>79</v>
      </c>
      <c r="G409" t="s">
        <v>63</v>
      </c>
      <c r="H409" t="s">
        <v>64</v>
      </c>
      <c r="J409" s="14">
        <f t="shared" si="28"/>
        <v>135.6</v>
      </c>
      <c r="K409">
        <v>1300</v>
      </c>
      <c r="N409" t="s">
        <v>54</v>
      </c>
      <c r="Q409">
        <v>4</v>
      </c>
      <c r="W409" t="s">
        <v>803</v>
      </c>
      <c r="AA409">
        <f t="shared" si="30"/>
        <v>13.56</v>
      </c>
      <c r="AB409">
        <v>42.6</v>
      </c>
      <c r="AC409">
        <f t="shared" si="31"/>
        <v>0.14253091710071536</v>
      </c>
      <c r="AI409" t="e">
        <f>IF(Y409="Yes",NA(),#REF!)</f>
        <v>#REF!</v>
      </c>
      <c r="AJ409" t="e">
        <f>IF(Y409="Yes",NA(),#REF!)</f>
        <v>#REF!</v>
      </c>
      <c r="AK409" t="e">
        <f>IF(Y409="Yes",NA(),#REF!)</f>
        <v>#REF!</v>
      </c>
    </row>
    <row r="410" spans="1:37" x14ac:dyDescent="0.35">
      <c r="A410" s="12">
        <v>410</v>
      </c>
      <c r="C410">
        <v>44</v>
      </c>
      <c r="E410" s="2">
        <v>7</v>
      </c>
      <c r="F410" s="2" t="s">
        <v>121</v>
      </c>
      <c r="G410" t="s">
        <v>63</v>
      </c>
      <c r="H410" t="s">
        <v>64</v>
      </c>
      <c r="J410" s="14">
        <f t="shared" si="28"/>
        <v>107.6</v>
      </c>
      <c r="K410">
        <v>1300</v>
      </c>
      <c r="N410" t="s">
        <v>252</v>
      </c>
      <c r="Q410" t="s">
        <v>38</v>
      </c>
      <c r="W410" t="s">
        <v>804</v>
      </c>
      <c r="AA410">
        <f t="shared" si="30"/>
        <v>10.76</v>
      </c>
      <c r="AB410">
        <v>33.799999999999997</v>
      </c>
      <c r="AC410">
        <f t="shared" si="31"/>
        <v>8.972702777917807E-2</v>
      </c>
      <c r="AI410" t="e">
        <f>IF(Y410="Yes",NA(),#REF!)</f>
        <v>#REF!</v>
      </c>
      <c r="AJ410" t="e">
        <f>IF(Y410="Yes",NA(),#REF!)</f>
        <v>#REF!</v>
      </c>
      <c r="AK410" t="e">
        <f>IF(Y410="Yes",NA(),#REF!)</f>
        <v>#REF!</v>
      </c>
    </row>
    <row r="411" spans="1:37" x14ac:dyDescent="0.35">
      <c r="A411" s="12">
        <v>411</v>
      </c>
      <c r="C411">
        <v>44</v>
      </c>
      <c r="E411" s="2">
        <v>9</v>
      </c>
      <c r="F411" s="2" t="s">
        <v>121</v>
      </c>
      <c r="G411" t="s">
        <v>63</v>
      </c>
      <c r="H411" t="s">
        <v>64</v>
      </c>
      <c r="J411" s="14">
        <f t="shared" si="28"/>
        <v>114</v>
      </c>
      <c r="K411">
        <v>1300</v>
      </c>
      <c r="N411" t="s">
        <v>252</v>
      </c>
      <c r="Q411" t="s">
        <v>38</v>
      </c>
      <c r="W411" t="s">
        <v>805</v>
      </c>
      <c r="AA411">
        <f t="shared" si="30"/>
        <v>11.4</v>
      </c>
      <c r="AB411">
        <v>35.799999999999997</v>
      </c>
      <c r="AC411">
        <f t="shared" si="31"/>
        <v>0.10065977021367055</v>
      </c>
      <c r="AI411" t="e">
        <f>IF(Y411="Yes",NA(),#REF!)</f>
        <v>#REF!</v>
      </c>
      <c r="AJ411" t="e">
        <f>IF(Y411="Yes",NA(),#REF!)</f>
        <v>#REF!</v>
      </c>
      <c r="AK411" t="e">
        <f>IF(Y411="Yes",NA(),#REF!)</f>
        <v>#REF!</v>
      </c>
    </row>
    <row r="412" spans="1:37" x14ac:dyDescent="0.35">
      <c r="A412" s="12">
        <v>412</v>
      </c>
      <c r="C412">
        <v>44</v>
      </c>
      <c r="E412" s="2" t="s">
        <v>122</v>
      </c>
      <c r="F412" s="2" t="s">
        <v>121</v>
      </c>
      <c r="G412" t="s">
        <v>213</v>
      </c>
      <c r="H412" t="s">
        <v>214</v>
      </c>
      <c r="J412" s="14">
        <f t="shared" si="28"/>
        <v>138.5</v>
      </c>
      <c r="K412">
        <v>1300</v>
      </c>
      <c r="N412" t="s">
        <v>54</v>
      </c>
      <c r="Q412" t="s">
        <v>38</v>
      </c>
      <c r="U412">
        <v>3</v>
      </c>
      <c r="W412" t="s">
        <v>806</v>
      </c>
      <c r="X412" t="s">
        <v>40</v>
      </c>
      <c r="Y412" t="s">
        <v>40</v>
      </c>
      <c r="AA412">
        <f t="shared" si="30"/>
        <v>13.85</v>
      </c>
      <c r="AB412">
        <v>43.5</v>
      </c>
      <c r="AC412">
        <f t="shared" si="31"/>
        <v>0.14861696746888214</v>
      </c>
      <c r="AI412" t="e">
        <f>IF(Y412="Yes",NA(),#REF!)</f>
        <v>#N/A</v>
      </c>
      <c r="AJ412" t="e">
        <f>IF(Y412="Yes",NA(),#REF!)</f>
        <v>#N/A</v>
      </c>
      <c r="AK412" t="e">
        <f>IF(Y412="Yes",NA(),#REF!)</f>
        <v>#N/A</v>
      </c>
    </row>
    <row r="413" spans="1:37" x14ac:dyDescent="0.35">
      <c r="A413" s="12">
        <v>413</v>
      </c>
      <c r="C413">
        <v>44</v>
      </c>
      <c r="E413" s="2" t="s">
        <v>756</v>
      </c>
      <c r="F413" s="2">
        <v>5</v>
      </c>
      <c r="G413" t="s">
        <v>63</v>
      </c>
      <c r="H413" t="s">
        <v>64</v>
      </c>
      <c r="J413" s="14">
        <f t="shared" si="28"/>
        <v>127.30000000000001</v>
      </c>
      <c r="K413">
        <v>1300</v>
      </c>
      <c r="N413" t="s">
        <v>61</v>
      </c>
      <c r="Q413" t="s">
        <v>55</v>
      </c>
      <c r="W413" t="s">
        <v>807</v>
      </c>
      <c r="AA413">
        <f t="shared" si="30"/>
        <v>12.73</v>
      </c>
      <c r="AB413">
        <v>40</v>
      </c>
      <c r="AC413">
        <f t="shared" si="31"/>
        <v>0.12566370614359174</v>
      </c>
      <c r="AI413" t="e">
        <f>IF(Y413="Yes",NA(),#REF!)</f>
        <v>#REF!</v>
      </c>
      <c r="AJ413" t="e">
        <f>IF(Y413="Yes",NA(),#REF!)</f>
        <v>#REF!</v>
      </c>
      <c r="AK413" t="e">
        <f>IF(Y413="Yes",NA(),#REF!)</f>
        <v>#REF!</v>
      </c>
    </row>
    <row r="414" spans="1:37" x14ac:dyDescent="0.35">
      <c r="A414" s="12">
        <v>414</v>
      </c>
      <c r="C414">
        <v>44</v>
      </c>
      <c r="E414" s="2">
        <v>8</v>
      </c>
      <c r="F414" s="2">
        <v>7</v>
      </c>
      <c r="G414" t="s">
        <v>66</v>
      </c>
      <c r="H414" t="s">
        <v>550</v>
      </c>
      <c r="J414" s="14">
        <f t="shared" si="28"/>
        <v>142.89999999999998</v>
      </c>
      <c r="K414">
        <v>1300</v>
      </c>
      <c r="N414" t="s">
        <v>297</v>
      </c>
      <c r="Q414" t="s">
        <v>152</v>
      </c>
      <c r="U414">
        <v>4</v>
      </c>
      <c r="W414" t="s">
        <v>808</v>
      </c>
      <c r="X414" t="s">
        <v>40</v>
      </c>
      <c r="Y414" t="s">
        <v>40</v>
      </c>
      <c r="Z414" t="s">
        <v>809</v>
      </c>
      <c r="AA414">
        <f t="shared" si="30"/>
        <v>14.29</v>
      </c>
      <c r="AB414">
        <v>44.9</v>
      </c>
      <c r="AC414">
        <f t="shared" si="31"/>
        <v>0.15833705513908894</v>
      </c>
      <c r="AI414" t="e">
        <f>IF(Y414="Yes",NA(),#REF!)</f>
        <v>#N/A</v>
      </c>
      <c r="AJ414" t="e">
        <f>IF(Y414="Yes",NA(),#REF!)</f>
        <v>#N/A</v>
      </c>
      <c r="AK414" t="e">
        <f>IF(Y414="Yes",NA(),#REF!)</f>
        <v>#N/A</v>
      </c>
    </row>
    <row r="415" spans="1:37" x14ac:dyDescent="0.35">
      <c r="A415" s="12">
        <v>415</v>
      </c>
      <c r="C415">
        <v>44</v>
      </c>
      <c r="E415" s="2">
        <v>5</v>
      </c>
      <c r="F415" s="2">
        <v>7</v>
      </c>
      <c r="G415" t="s">
        <v>47</v>
      </c>
      <c r="H415" t="s">
        <v>35</v>
      </c>
      <c r="J415" s="14">
        <f t="shared" si="28"/>
        <v>112</v>
      </c>
      <c r="K415">
        <v>1300</v>
      </c>
      <c r="N415" t="s">
        <v>54</v>
      </c>
      <c r="Q415">
        <v>1</v>
      </c>
      <c r="W415" t="s">
        <v>810</v>
      </c>
      <c r="X415" t="s">
        <v>40</v>
      </c>
      <c r="Y415" t="s">
        <v>40</v>
      </c>
      <c r="AA415">
        <f t="shared" si="30"/>
        <v>11.2</v>
      </c>
      <c r="AB415">
        <v>35.200000000000003</v>
      </c>
      <c r="AC415">
        <f t="shared" si="31"/>
        <v>9.731397403759745E-2</v>
      </c>
      <c r="AI415" t="e">
        <f>IF(Y415="Yes",NA(),#REF!)</f>
        <v>#N/A</v>
      </c>
      <c r="AJ415" t="e">
        <f>IF(Y415="Yes",NA(),#REF!)</f>
        <v>#N/A</v>
      </c>
      <c r="AK415" t="e">
        <f>IF(Y415="Yes",NA(),#REF!)</f>
        <v>#N/A</v>
      </c>
    </row>
    <row r="416" spans="1:37" x14ac:dyDescent="0.35">
      <c r="A416" s="12">
        <v>416</v>
      </c>
      <c r="C416">
        <v>44</v>
      </c>
      <c r="E416" s="2" t="s">
        <v>174</v>
      </c>
      <c r="F416" s="2" t="s">
        <v>281</v>
      </c>
      <c r="G416" t="s">
        <v>63</v>
      </c>
      <c r="H416" t="s">
        <v>64</v>
      </c>
      <c r="J416" s="14">
        <f t="shared" si="28"/>
        <v>100.3</v>
      </c>
      <c r="K416">
        <v>1300</v>
      </c>
      <c r="N416" t="s">
        <v>54</v>
      </c>
      <c r="Q416" t="s">
        <v>55</v>
      </c>
      <c r="W416" t="s">
        <v>811</v>
      </c>
      <c r="AA416">
        <f t="shared" si="30"/>
        <v>10.029999999999999</v>
      </c>
      <c r="AB416">
        <v>31.5</v>
      </c>
      <c r="AC416">
        <f t="shared" si="31"/>
        <v>7.793113276311181E-2</v>
      </c>
      <c r="AI416" t="e">
        <f>IF(Y416="Yes",NA(),#REF!)</f>
        <v>#REF!</v>
      </c>
      <c r="AJ416" t="e">
        <f>IF(Y416="Yes",NA(),#REF!)</f>
        <v>#REF!</v>
      </c>
      <c r="AK416" t="e">
        <f>IF(Y416="Yes",NA(),#REF!)</f>
        <v>#REF!</v>
      </c>
    </row>
    <row r="417" spans="1:37" x14ac:dyDescent="0.35">
      <c r="A417" s="12">
        <v>417</v>
      </c>
      <c r="C417">
        <v>44</v>
      </c>
      <c r="E417" s="2" t="s">
        <v>79</v>
      </c>
      <c r="F417" s="2">
        <v>7</v>
      </c>
      <c r="G417" t="s">
        <v>34</v>
      </c>
      <c r="H417" t="s">
        <v>155</v>
      </c>
      <c r="J417" s="14">
        <f t="shared" si="28"/>
        <v>122.2</v>
      </c>
      <c r="K417">
        <v>1300</v>
      </c>
      <c r="N417" t="s">
        <v>54</v>
      </c>
      <c r="Q417" t="s">
        <v>38</v>
      </c>
      <c r="U417">
        <v>4</v>
      </c>
      <c r="W417" t="s">
        <v>812</v>
      </c>
      <c r="X417" t="s">
        <v>40</v>
      </c>
      <c r="Y417" t="s">
        <v>40</v>
      </c>
      <c r="AA417">
        <f t="shared" si="30"/>
        <v>12.22</v>
      </c>
      <c r="AB417">
        <v>38.4</v>
      </c>
      <c r="AC417">
        <f t="shared" si="31"/>
        <v>0.11581167158193414</v>
      </c>
      <c r="AI417" t="e">
        <f>IF(Y417="Yes",NA(),#REF!)</f>
        <v>#N/A</v>
      </c>
      <c r="AJ417" t="e">
        <f>IF(Y417="Yes",NA(),#REF!)</f>
        <v>#N/A</v>
      </c>
      <c r="AK417" t="e">
        <f>IF(Y417="Yes",NA(),#REF!)</f>
        <v>#N/A</v>
      </c>
    </row>
    <row r="418" spans="1:37" x14ac:dyDescent="0.35">
      <c r="A418" s="12">
        <v>418</v>
      </c>
      <c r="C418">
        <v>45</v>
      </c>
      <c r="E418" s="2" t="s">
        <v>33</v>
      </c>
      <c r="F418" s="2">
        <v>1</v>
      </c>
      <c r="G418" t="s">
        <v>59</v>
      </c>
      <c r="H418" t="s">
        <v>461</v>
      </c>
      <c r="J418" s="14">
        <f t="shared" si="28"/>
        <v>364.09999999999997</v>
      </c>
      <c r="K418">
        <v>1300</v>
      </c>
      <c r="N418" t="s">
        <v>813</v>
      </c>
      <c r="Q418">
        <v>5</v>
      </c>
      <c r="U418">
        <v>2</v>
      </c>
      <c r="W418" t="s">
        <v>814</v>
      </c>
      <c r="X418" t="s">
        <v>40</v>
      </c>
      <c r="Y418" t="s">
        <v>40</v>
      </c>
      <c r="AA418">
        <f t="shared" si="30"/>
        <v>36.409999999999997</v>
      </c>
      <c r="AB418">
        <v>114.4</v>
      </c>
      <c r="AC418">
        <f t="shared" si="31"/>
        <v>1.027878850772123</v>
      </c>
      <c r="AI418" t="e">
        <f>IF(Y418="Yes",NA(),#REF!)</f>
        <v>#N/A</v>
      </c>
      <c r="AJ418" t="e">
        <f>IF(Y418="Yes",NA(),#REF!)</f>
        <v>#N/A</v>
      </c>
      <c r="AK418" t="e">
        <f>IF(Y418="Yes",NA(),#REF!)</f>
        <v>#N/A</v>
      </c>
    </row>
    <row r="419" spans="1:37" x14ac:dyDescent="0.35">
      <c r="A419" s="12">
        <v>419</v>
      </c>
      <c r="C419">
        <v>45</v>
      </c>
      <c r="E419" s="2" t="s">
        <v>33</v>
      </c>
      <c r="F419" s="2" t="s">
        <v>94</v>
      </c>
      <c r="G419" t="s">
        <v>63</v>
      </c>
      <c r="H419" t="s">
        <v>64</v>
      </c>
      <c r="J419" s="14">
        <f t="shared" si="28"/>
        <v>142</v>
      </c>
      <c r="K419">
        <v>1300</v>
      </c>
      <c r="N419" t="s">
        <v>61</v>
      </c>
      <c r="Q419" t="s">
        <v>152</v>
      </c>
      <c r="W419" t="s">
        <v>815</v>
      </c>
      <c r="AA419">
        <f t="shared" si="30"/>
        <v>14.2</v>
      </c>
      <c r="AB419">
        <v>44.6</v>
      </c>
      <c r="AC419">
        <f t="shared" si="31"/>
        <v>0.15622826107036683</v>
      </c>
      <c r="AI419" t="e">
        <f>IF(Y419="Yes",NA(),#REF!)</f>
        <v>#REF!</v>
      </c>
      <c r="AJ419" t="e">
        <f>IF(Y419="Yes",NA(),#REF!)</f>
        <v>#REF!</v>
      </c>
      <c r="AK419" t="e">
        <f>IF(Y419="Yes",NA(),#REF!)</f>
        <v>#REF!</v>
      </c>
    </row>
    <row r="420" spans="1:37" x14ac:dyDescent="0.35">
      <c r="A420" s="12">
        <v>420</v>
      </c>
      <c r="C420">
        <v>45</v>
      </c>
      <c r="E420" s="2">
        <v>1</v>
      </c>
      <c r="F420" s="2">
        <v>4.5</v>
      </c>
      <c r="G420" t="s">
        <v>114</v>
      </c>
      <c r="H420" t="s">
        <v>35</v>
      </c>
      <c r="J420" s="14">
        <f t="shared" si="28"/>
        <v>107.89999999999999</v>
      </c>
      <c r="K420">
        <v>1300</v>
      </c>
      <c r="N420" t="s">
        <v>54</v>
      </c>
      <c r="Q420">
        <v>1</v>
      </c>
      <c r="U420">
        <v>3</v>
      </c>
      <c r="W420" t="s">
        <v>816</v>
      </c>
      <c r="X420" t="s">
        <v>40</v>
      </c>
      <c r="Y420" t="s">
        <v>40</v>
      </c>
      <c r="AA420">
        <f t="shared" si="30"/>
        <v>10.79</v>
      </c>
      <c r="AB420">
        <v>33.9</v>
      </c>
      <c r="AC420">
        <f t="shared" si="31"/>
        <v>9.0258742335798142E-2</v>
      </c>
      <c r="AI420" t="e">
        <f>IF(Y420="Yes",NA(),#REF!)</f>
        <v>#N/A</v>
      </c>
      <c r="AJ420" t="e">
        <f>IF(Y420="Yes",NA(),#REF!)</f>
        <v>#N/A</v>
      </c>
      <c r="AK420" t="e">
        <f>IF(Y420="Yes",NA(),#REF!)</f>
        <v>#N/A</v>
      </c>
    </row>
    <row r="421" spans="1:37" x14ac:dyDescent="0.35">
      <c r="A421" s="12">
        <v>421</v>
      </c>
      <c r="C421">
        <v>45</v>
      </c>
      <c r="E421" s="2">
        <v>5</v>
      </c>
      <c r="F421" s="2">
        <v>0.3</v>
      </c>
      <c r="G421" t="s">
        <v>47</v>
      </c>
      <c r="H421" t="s">
        <v>503</v>
      </c>
      <c r="I421" t="s">
        <v>515</v>
      </c>
      <c r="J421" s="14">
        <f t="shared" si="28"/>
        <v>127.30000000000001</v>
      </c>
      <c r="K421">
        <v>1300</v>
      </c>
      <c r="N421" t="s">
        <v>54</v>
      </c>
      <c r="Q421" t="s">
        <v>259</v>
      </c>
      <c r="U421">
        <v>4</v>
      </c>
      <c r="W421" t="s">
        <v>817</v>
      </c>
      <c r="X421" t="s">
        <v>40</v>
      </c>
      <c r="Y421" t="s">
        <v>40</v>
      </c>
      <c r="Z421" t="s">
        <v>758</v>
      </c>
      <c r="AA421">
        <f t="shared" si="30"/>
        <v>12.73</v>
      </c>
      <c r="AB421">
        <v>40</v>
      </c>
      <c r="AC421">
        <f t="shared" si="31"/>
        <v>0.12566370614359174</v>
      </c>
      <c r="AI421" t="e">
        <f>IF(Y421="Yes",NA(),#REF!)</f>
        <v>#N/A</v>
      </c>
      <c r="AJ421" t="e">
        <f>IF(Y421="Yes",NA(),#REF!)</f>
        <v>#N/A</v>
      </c>
      <c r="AK421" t="e">
        <f>IF(Y421="Yes",NA(),#REF!)</f>
        <v>#N/A</v>
      </c>
    </row>
    <row r="422" spans="1:37" x14ac:dyDescent="0.35">
      <c r="A422" s="12">
        <v>422</v>
      </c>
      <c r="C422">
        <v>45</v>
      </c>
      <c r="E422" s="23">
        <v>9</v>
      </c>
      <c r="F422" s="23">
        <v>1.5</v>
      </c>
      <c r="G422" t="s">
        <v>42</v>
      </c>
      <c r="H422" t="s">
        <v>357</v>
      </c>
      <c r="J422" s="14">
        <f t="shared" si="28"/>
        <v>140.1</v>
      </c>
      <c r="K422">
        <v>1300</v>
      </c>
      <c r="N422" t="s">
        <v>54</v>
      </c>
      <c r="Q422">
        <v>1</v>
      </c>
      <c r="U422">
        <v>7</v>
      </c>
      <c r="W422" t="s">
        <v>818</v>
      </c>
      <c r="X422" t="s">
        <v>40</v>
      </c>
      <c r="Y422" t="s">
        <v>40</v>
      </c>
      <c r="Z422" t="s">
        <v>819</v>
      </c>
      <c r="AA422">
        <f t="shared" si="30"/>
        <v>14.01</v>
      </c>
      <c r="AB422" s="26">
        <v>44</v>
      </c>
      <c r="AC422">
        <f t="shared" si="31"/>
        <v>0.15205308443374596</v>
      </c>
      <c r="AI422" t="e">
        <f>IF(Y422="Yes",NA(),#REF!)</f>
        <v>#N/A</v>
      </c>
      <c r="AJ422" t="e">
        <f>IF(Y422="Yes",NA(),#REF!)</f>
        <v>#N/A</v>
      </c>
      <c r="AK422" t="e">
        <f>IF(Y422="Yes",NA(),#REF!)</f>
        <v>#N/A</v>
      </c>
    </row>
    <row r="423" spans="1:37" x14ac:dyDescent="0.35">
      <c r="A423" s="12">
        <v>423</v>
      </c>
      <c r="C423">
        <v>45</v>
      </c>
      <c r="E423" s="2">
        <v>9.9</v>
      </c>
      <c r="F423" s="2">
        <v>4.5</v>
      </c>
      <c r="G423" t="s">
        <v>63</v>
      </c>
      <c r="H423" t="s">
        <v>64</v>
      </c>
      <c r="J423" s="14">
        <f t="shared" si="28"/>
        <v>244.8</v>
      </c>
      <c r="K423">
        <v>1300</v>
      </c>
      <c r="N423" t="s">
        <v>297</v>
      </c>
      <c r="Q423" t="s">
        <v>38</v>
      </c>
      <c r="W423" t="s">
        <v>820</v>
      </c>
      <c r="AA423">
        <f t="shared" si="30"/>
        <v>24.48</v>
      </c>
      <c r="AB423">
        <v>76.900000000000006</v>
      </c>
      <c r="AC423">
        <f t="shared" si="31"/>
        <v>0.46445384330487849</v>
      </c>
      <c r="AI423" t="e">
        <f>IF(Y423="Yes",NA(),#REF!)</f>
        <v>#REF!</v>
      </c>
      <c r="AJ423" t="e">
        <f>IF(Y423="Yes",NA(),#REF!)</f>
        <v>#REF!</v>
      </c>
      <c r="AK423" t="e">
        <f>IF(Y423="Yes",NA(),#REF!)</f>
        <v>#REF!</v>
      </c>
    </row>
    <row r="424" spans="1:37" x14ac:dyDescent="0.35">
      <c r="A424" s="12">
        <v>424</v>
      </c>
      <c r="C424">
        <v>45</v>
      </c>
      <c r="E424" s="2">
        <v>8</v>
      </c>
      <c r="F424" s="2">
        <v>9</v>
      </c>
      <c r="G424" t="s">
        <v>63</v>
      </c>
      <c r="H424" t="s">
        <v>64</v>
      </c>
      <c r="J424" s="14">
        <f t="shared" si="28"/>
        <v>140.69999999999999</v>
      </c>
      <c r="K424">
        <v>1300</v>
      </c>
      <c r="N424" t="s">
        <v>54</v>
      </c>
      <c r="Q424" t="s">
        <v>134</v>
      </c>
      <c r="W424" t="s">
        <v>821</v>
      </c>
      <c r="AA424">
        <f t="shared" si="30"/>
        <v>14.07</v>
      </c>
      <c r="AB424">
        <v>44.2</v>
      </c>
      <c r="AC424">
        <f t="shared" si="31"/>
        <v>0.15343852679397912</v>
      </c>
      <c r="AI424" t="e">
        <f>IF(Y424="Yes",NA(),#REF!)</f>
        <v>#REF!</v>
      </c>
      <c r="AJ424" t="e">
        <f>IF(Y424="Yes",NA(),#REF!)</f>
        <v>#REF!</v>
      </c>
      <c r="AK424" t="e">
        <f>IF(Y424="Yes",NA(),#REF!)</f>
        <v>#REF!</v>
      </c>
    </row>
    <row r="425" spans="1:37" x14ac:dyDescent="0.35">
      <c r="A425" s="12">
        <v>425</v>
      </c>
      <c r="C425">
        <v>45</v>
      </c>
      <c r="E425" s="2">
        <v>6.5</v>
      </c>
      <c r="F425" s="2">
        <v>7</v>
      </c>
      <c r="G425" t="s">
        <v>63</v>
      </c>
      <c r="H425" t="s">
        <v>64</v>
      </c>
      <c r="J425" s="14">
        <f t="shared" si="28"/>
        <v>117.8</v>
      </c>
      <c r="K425">
        <v>1300</v>
      </c>
      <c r="N425" t="s">
        <v>61</v>
      </c>
      <c r="Q425">
        <v>1</v>
      </c>
      <c r="W425" t="s">
        <v>822</v>
      </c>
      <c r="AA425">
        <f t="shared" si="30"/>
        <v>11.78</v>
      </c>
      <c r="AB425">
        <v>37</v>
      </c>
      <c r="AC425">
        <f t="shared" si="31"/>
        <v>0.10752100856911068</v>
      </c>
      <c r="AI425" t="e">
        <f>IF(Y425="Yes",NA(),#REF!)</f>
        <v>#REF!</v>
      </c>
      <c r="AJ425" t="e">
        <f>IF(Y425="Yes",NA(),#REF!)</f>
        <v>#REF!</v>
      </c>
      <c r="AK425" t="e">
        <f>IF(Y425="Yes",NA(),#REF!)</f>
        <v>#REF!</v>
      </c>
    </row>
    <row r="426" spans="1:37" x14ac:dyDescent="0.35">
      <c r="A426" s="12">
        <v>426</v>
      </c>
      <c r="C426">
        <v>45</v>
      </c>
      <c r="E426" s="23">
        <v>6.5</v>
      </c>
      <c r="F426" s="23">
        <v>8</v>
      </c>
      <c r="G426" t="s">
        <v>112</v>
      </c>
      <c r="H426" t="s">
        <v>163</v>
      </c>
      <c r="J426" s="14">
        <f t="shared" si="28"/>
        <v>214.89999999999998</v>
      </c>
      <c r="K426">
        <v>2200</v>
      </c>
      <c r="N426" t="s">
        <v>823</v>
      </c>
      <c r="Q426" t="s">
        <v>38</v>
      </c>
      <c r="U426">
        <v>3</v>
      </c>
      <c r="W426" t="s">
        <v>824</v>
      </c>
      <c r="X426" t="s">
        <v>40</v>
      </c>
      <c r="Y426" t="s">
        <v>40</v>
      </c>
      <c r="AA426">
        <f t="shared" si="30"/>
        <v>21.49</v>
      </c>
      <c r="AB426" s="26">
        <v>67.5</v>
      </c>
      <c r="AI426" t="e">
        <f>IF(Y426="Yes",NA(),#REF!)</f>
        <v>#N/A</v>
      </c>
      <c r="AJ426" t="e">
        <f>IF(Y426="Yes",NA(),#REF!)</f>
        <v>#N/A</v>
      </c>
      <c r="AK426" t="e">
        <f>IF(Y426="Yes",NA(),#REF!)</f>
        <v>#N/A</v>
      </c>
    </row>
    <row r="427" spans="1:37" x14ac:dyDescent="0.35">
      <c r="A427" s="12">
        <v>427</v>
      </c>
      <c r="C427">
        <v>45</v>
      </c>
      <c r="E427" s="2">
        <v>4.5</v>
      </c>
      <c r="F427" s="2">
        <v>8.5</v>
      </c>
      <c r="G427" t="s">
        <v>42</v>
      </c>
      <c r="H427" t="s">
        <v>825</v>
      </c>
      <c r="J427" s="14">
        <f t="shared" si="28"/>
        <v>130.5</v>
      </c>
      <c r="K427">
        <v>1300</v>
      </c>
      <c r="N427" t="s">
        <v>54</v>
      </c>
      <c r="Q427">
        <v>1</v>
      </c>
      <c r="U427">
        <v>2</v>
      </c>
      <c r="W427" t="s">
        <v>826</v>
      </c>
      <c r="X427" t="s">
        <v>40</v>
      </c>
      <c r="Y427" t="s">
        <v>40</v>
      </c>
      <c r="AA427">
        <f t="shared" si="30"/>
        <v>13.05</v>
      </c>
      <c r="AB427">
        <v>41</v>
      </c>
      <c r="AC427">
        <f t="shared" ref="AC427:AC472" si="32">PI()*(AB427/2)*(AB427/2)/10000</f>
        <v>0.13202543126711105</v>
      </c>
      <c r="AI427" t="e">
        <f>IF(Y427="Yes",NA(),#REF!)</f>
        <v>#N/A</v>
      </c>
      <c r="AJ427" t="e">
        <f>IF(Y427="Yes",NA(),#REF!)</f>
        <v>#N/A</v>
      </c>
      <c r="AK427" t="e">
        <f>IF(Y427="Yes",NA(),#REF!)</f>
        <v>#N/A</v>
      </c>
    </row>
    <row r="428" spans="1:37" x14ac:dyDescent="0.35">
      <c r="A428" s="12">
        <v>428</v>
      </c>
      <c r="C428">
        <v>45</v>
      </c>
      <c r="E428" s="2">
        <v>0.3</v>
      </c>
      <c r="F428" s="2">
        <v>6.5</v>
      </c>
      <c r="G428" t="s">
        <v>63</v>
      </c>
      <c r="H428" t="s">
        <v>64</v>
      </c>
      <c r="J428" s="14">
        <f t="shared" si="28"/>
        <v>101.89999999999999</v>
      </c>
      <c r="K428">
        <v>1300</v>
      </c>
      <c r="N428" t="s">
        <v>54</v>
      </c>
      <c r="Q428" t="s">
        <v>55</v>
      </c>
      <c r="W428" t="s">
        <v>827</v>
      </c>
      <c r="AA428">
        <f t="shared" si="30"/>
        <v>10.19</v>
      </c>
      <c r="AB428">
        <v>32</v>
      </c>
      <c r="AC428">
        <f t="shared" si="32"/>
        <v>8.0424771931898703E-2</v>
      </c>
      <c r="AI428" t="e">
        <f>IF(Y428="Yes",NA(),#REF!)</f>
        <v>#REF!</v>
      </c>
      <c r="AJ428" t="e">
        <f>IF(Y428="Yes",NA(),#REF!)</f>
        <v>#REF!</v>
      </c>
      <c r="AK428" t="e">
        <f>IF(Y428="Yes",NA(),#REF!)</f>
        <v>#REF!</v>
      </c>
    </row>
    <row r="429" spans="1:37" x14ac:dyDescent="0.35">
      <c r="A429" s="12">
        <v>429</v>
      </c>
      <c r="C429">
        <v>46</v>
      </c>
      <c r="E429" s="2">
        <v>0.5</v>
      </c>
      <c r="F429" s="2">
        <v>0.8</v>
      </c>
      <c r="G429" t="s">
        <v>63</v>
      </c>
      <c r="H429" t="s">
        <v>64</v>
      </c>
      <c r="J429" s="14">
        <f t="shared" si="28"/>
        <v>130.5</v>
      </c>
      <c r="K429">
        <v>1300</v>
      </c>
      <c r="N429" t="s">
        <v>54</v>
      </c>
      <c r="Q429" t="s">
        <v>38</v>
      </c>
      <c r="W429" t="s">
        <v>828</v>
      </c>
      <c r="AA429">
        <f t="shared" si="30"/>
        <v>13.05</v>
      </c>
      <c r="AB429">
        <v>41</v>
      </c>
      <c r="AC429">
        <f t="shared" si="32"/>
        <v>0.13202543126711105</v>
      </c>
      <c r="AI429" t="e">
        <f>IF(Y429="Yes",NA(),#REF!)</f>
        <v>#REF!</v>
      </c>
      <c r="AJ429" t="e">
        <f>IF(Y429="Yes",NA(),#REF!)</f>
        <v>#REF!</v>
      </c>
      <c r="AK429" t="e">
        <f>IF(Y429="Yes",NA(),#REF!)</f>
        <v>#REF!</v>
      </c>
    </row>
    <row r="430" spans="1:37" x14ac:dyDescent="0.35">
      <c r="A430" s="12">
        <v>430</v>
      </c>
      <c r="C430">
        <v>46</v>
      </c>
      <c r="E430" s="2">
        <v>3</v>
      </c>
      <c r="F430" s="2">
        <v>1.7</v>
      </c>
      <c r="G430" t="s">
        <v>114</v>
      </c>
      <c r="H430" t="s">
        <v>35</v>
      </c>
      <c r="I430" t="s">
        <v>829</v>
      </c>
      <c r="J430" s="14">
        <f t="shared" si="28"/>
        <v>160.69999999999999</v>
      </c>
      <c r="K430">
        <v>1300</v>
      </c>
      <c r="N430" t="s">
        <v>54</v>
      </c>
      <c r="Q430" t="s">
        <v>55</v>
      </c>
      <c r="U430">
        <v>3</v>
      </c>
      <c r="W430" t="s">
        <v>830</v>
      </c>
      <c r="X430" t="s">
        <v>40</v>
      </c>
      <c r="Y430" t="s">
        <v>40</v>
      </c>
      <c r="AA430">
        <f t="shared" si="30"/>
        <v>16.07</v>
      </c>
      <c r="AB430">
        <v>50.5</v>
      </c>
      <c r="AC430">
        <f t="shared" si="32"/>
        <v>0.20029616662043426</v>
      </c>
      <c r="AI430" t="e">
        <f>IF(Y430="Yes",NA(),#REF!)</f>
        <v>#N/A</v>
      </c>
      <c r="AJ430" t="e">
        <f>IF(Y430="Yes",NA(),#REF!)</f>
        <v>#N/A</v>
      </c>
      <c r="AK430" t="e">
        <f>IF(Y430="Yes",NA(),#REF!)</f>
        <v>#N/A</v>
      </c>
    </row>
    <row r="431" spans="1:37" x14ac:dyDescent="0.35">
      <c r="A431" s="12">
        <v>431</v>
      </c>
      <c r="C431">
        <v>46</v>
      </c>
      <c r="E431" s="2">
        <v>3.5</v>
      </c>
      <c r="F431" s="2">
        <v>1.7</v>
      </c>
      <c r="G431" t="s">
        <v>63</v>
      </c>
      <c r="H431" t="s">
        <v>64</v>
      </c>
      <c r="J431" s="14">
        <f t="shared" si="28"/>
        <v>125.7</v>
      </c>
      <c r="K431">
        <v>1300</v>
      </c>
      <c r="N431" t="s">
        <v>54</v>
      </c>
      <c r="Q431" t="s">
        <v>38</v>
      </c>
      <c r="W431" t="s">
        <v>831</v>
      </c>
      <c r="Z431" t="s">
        <v>832</v>
      </c>
      <c r="AA431">
        <f t="shared" si="30"/>
        <v>12.57</v>
      </c>
      <c r="AB431">
        <v>39.5</v>
      </c>
      <c r="AC431">
        <f t="shared" si="32"/>
        <v>0.12254174844408687</v>
      </c>
      <c r="AI431" t="e">
        <f>IF(Y431="Yes",NA(),#REF!)</f>
        <v>#REF!</v>
      </c>
      <c r="AJ431" t="e">
        <f>IF(Y431="Yes",NA(),#REF!)</f>
        <v>#REF!</v>
      </c>
      <c r="AK431" t="e">
        <f>IF(Y431="Yes",NA(),#REF!)</f>
        <v>#REF!</v>
      </c>
    </row>
    <row r="432" spans="1:37" x14ac:dyDescent="0.35">
      <c r="A432" s="12">
        <v>432</v>
      </c>
      <c r="C432">
        <v>46</v>
      </c>
      <c r="E432" s="2">
        <v>4</v>
      </c>
      <c r="F432" s="2">
        <v>3</v>
      </c>
      <c r="G432" t="s">
        <v>114</v>
      </c>
      <c r="H432" t="s">
        <v>35</v>
      </c>
      <c r="J432" s="14">
        <f t="shared" si="28"/>
        <v>154.70000000000002</v>
      </c>
      <c r="K432">
        <v>1300</v>
      </c>
      <c r="N432" t="s">
        <v>54</v>
      </c>
      <c r="Q432" t="s">
        <v>55</v>
      </c>
      <c r="W432" t="s">
        <v>833</v>
      </c>
      <c r="X432" t="s">
        <v>40</v>
      </c>
      <c r="Y432" t="s">
        <v>40</v>
      </c>
      <c r="AA432">
        <f t="shared" si="30"/>
        <v>15.47</v>
      </c>
      <c r="AB432">
        <v>48.6</v>
      </c>
      <c r="AC432">
        <f t="shared" si="32"/>
        <v>0.1855079046018237</v>
      </c>
      <c r="AI432" t="e">
        <f>IF(Y432="Yes",NA(),#REF!)</f>
        <v>#N/A</v>
      </c>
      <c r="AJ432" t="e">
        <f>IF(Y432="Yes",NA(),#REF!)</f>
        <v>#N/A</v>
      </c>
      <c r="AK432" t="e">
        <f>IF(Y432="Yes",NA(),#REF!)</f>
        <v>#N/A</v>
      </c>
    </row>
    <row r="433" spans="1:37" x14ac:dyDescent="0.35">
      <c r="A433" s="12">
        <v>433</v>
      </c>
      <c r="C433">
        <v>46</v>
      </c>
      <c r="E433" s="2">
        <v>5.5</v>
      </c>
      <c r="F433" s="2">
        <v>4</v>
      </c>
      <c r="G433" t="s">
        <v>34</v>
      </c>
      <c r="H433" t="s">
        <v>35</v>
      </c>
      <c r="J433" s="14">
        <f t="shared" si="28"/>
        <v>184.60000000000002</v>
      </c>
      <c r="K433">
        <v>1300</v>
      </c>
      <c r="N433" t="s">
        <v>54</v>
      </c>
      <c r="Q433" t="s">
        <v>834</v>
      </c>
      <c r="U433">
        <v>5</v>
      </c>
      <c r="W433" t="s">
        <v>835</v>
      </c>
      <c r="X433" t="s">
        <v>40</v>
      </c>
      <c r="Y433" t="s">
        <v>40</v>
      </c>
      <c r="Z433" t="s">
        <v>836</v>
      </c>
      <c r="AA433">
        <f t="shared" si="30"/>
        <v>18.46</v>
      </c>
      <c r="AB433">
        <v>58</v>
      </c>
      <c r="AC433">
        <f t="shared" si="32"/>
        <v>0.26420794216690158</v>
      </c>
      <c r="AI433" t="e">
        <f>IF(Y433="Yes",NA(),#REF!)</f>
        <v>#N/A</v>
      </c>
      <c r="AJ433" t="e">
        <f>IF(Y433="Yes",NA(),#REF!)</f>
        <v>#N/A</v>
      </c>
      <c r="AK433" t="e">
        <f>IF(Y433="Yes",NA(),#REF!)</f>
        <v>#N/A</v>
      </c>
    </row>
    <row r="434" spans="1:37" x14ac:dyDescent="0.35">
      <c r="A434" s="12">
        <v>434</v>
      </c>
      <c r="C434">
        <v>46</v>
      </c>
      <c r="E434" s="2">
        <v>7</v>
      </c>
      <c r="F434" s="2">
        <v>3.8</v>
      </c>
      <c r="G434" t="s">
        <v>63</v>
      </c>
      <c r="H434" t="s">
        <v>64</v>
      </c>
      <c r="J434" s="14">
        <f t="shared" si="28"/>
        <v>106.6</v>
      </c>
      <c r="K434">
        <v>1300</v>
      </c>
      <c r="N434" t="s">
        <v>54</v>
      </c>
      <c r="Q434">
        <v>1</v>
      </c>
      <c r="W434" t="s">
        <v>837</v>
      </c>
      <c r="AA434">
        <f t="shared" si="30"/>
        <v>10.66</v>
      </c>
      <c r="AB434">
        <v>33.5</v>
      </c>
      <c r="AC434">
        <f t="shared" si="32"/>
        <v>8.8141308887278627E-2</v>
      </c>
      <c r="AI434" t="e">
        <f>IF(Y434="Yes",NA(),#REF!)</f>
        <v>#REF!</v>
      </c>
      <c r="AJ434" t="e">
        <f>IF(Y434="Yes",NA(),#REF!)</f>
        <v>#REF!</v>
      </c>
      <c r="AK434" t="e">
        <f>IF(Y434="Yes",NA(),#REF!)</f>
        <v>#REF!</v>
      </c>
    </row>
    <row r="435" spans="1:37" x14ac:dyDescent="0.35">
      <c r="A435" s="12">
        <v>435</v>
      </c>
      <c r="C435">
        <v>46</v>
      </c>
      <c r="E435" s="2">
        <v>8</v>
      </c>
      <c r="F435" s="2">
        <v>4.5</v>
      </c>
      <c r="G435" t="s">
        <v>114</v>
      </c>
      <c r="H435" t="s">
        <v>35</v>
      </c>
      <c r="J435" s="14">
        <f t="shared" si="28"/>
        <v>153.1</v>
      </c>
      <c r="K435">
        <v>1300</v>
      </c>
      <c r="N435" t="s">
        <v>54</v>
      </c>
      <c r="Q435" t="s">
        <v>55</v>
      </c>
      <c r="W435" t="s">
        <v>838</v>
      </c>
      <c r="X435" t="s">
        <v>40</v>
      </c>
      <c r="Y435" t="s">
        <v>40</v>
      </c>
      <c r="AA435">
        <f t="shared" si="30"/>
        <v>15.31</v>
      </c>
      <c r="AB435">
        <v>48.1</v>
      </c>
      <c r="AC435">
        <f t="shared" si="32"/>
        <v>0.18171050448179707</v>
      </c>
      <c r="AI435" t="e">
        <f>IF(Y435="Yes",NA(),#REF!)</f>
        <v>#N/A</v>
      </c>
      <c r="AJ435" t="e">
        <f>IF(Y435="Yes",NA(),#REF!)</f>
        <v>#N/A</v>
      </c>
      <c r="AK435" t="e">
        <f>IF(Y435="Yes",NA(),#REF!)</f>
        <v>#N/A</v>
      </c>
    </row>
    <row r="436" spans="1:37" x14ac:dyDescent="0.35">
      <c r="A436" s="12">
        <v>436</v>
      </c>
      <c r="C436">
        <v>46</v>
      </c>
      <c r="E436" s="2">
        <v>9</v>
      </c>
      <c r="F436" s="2">
        <v>4.5</v>
      </c>
      <c r="G436" t="s">
        <v>63</v>
      </c>
      <c r="H436" t="s">
        <v>64</v>
      </c>
      <c r="J436" s="14">
        <f t="shared" si="28"/>
        <v>138.5</v>
      </c>
      <c r="K436">
        <v>1300</v>
      </c>
      <c r="N436" t="s">
        <v>54</v>
      </c>
      <c r="Q436" t="s">
        <v>55</v>
      </c>
      <c r="W436" t="s">
        <v>839</v>
      </c>
      <c r="AA436">
        <f t="shared" si="30"/>
        <v>13.85</v>
      </c>
      <c r="AB436">
        <v>43.5</v>
      </c>
      <c r="AC436">
        <f t="shared" si="32"/>
        <v>0.14861696746888214</v>
      </c>
      <c r="AI436" t="e">
        <f>IF(Y436="Yes",NA(),#REF!)</f>
        <v>#REF!</v>
      </c>
      <c r="AJ436" t="e">
        <f>IF(Y436="Yes",NA(),#REF!)</f>
        <v>#REF!</v>
      </c>
      <c r="AK436" t="e">
        <f>IF(Y436="Yes",NA(),#REF!)</f>
        <v>#REF!</v>
      </c>
    </row>
    <row r="437" spans="1:37" x14ac:dyDescent="0.35">
      <c r="A437" s="12">
        <v>437</v>
      </c>
      <c r="C437">
        <v>46</v>
      </c>
      <c r="E437" s="2">
        <v>8</v>
      </c>
      <c r="F437" s="2">
        <v>6.5</v>
      </c>
      <c r="G437" t="s">
        <v>63</v>
      </c>
      <c r="H437" t="s">
        <v>64</v>
      </c>
      <c r="J437" s="14">
        <f t="shared" si="28"/>
        <v>138.80000000000001</v>
      </c>
      <c r="K437">
        <v>1300</v>
      </c>
      <c r="N437" t="s">
        <v>54</v>
      </c>
      <c r="Q437" t="s">
        <v>259</v>
      </c>
      <c r="W437" t="s">
        <v>840</v>
      </c>
      <c r="AA437">
        <f t="shared" si="30"/>
        <v>13.88</v>
      </c>
      <c r="AB437">
        <v>43.6</v>
      </c>
      <c r="AC437">
        <f t="shared" si="32"/>
        <v>0.14930104926920135</v>
      </c>
      <c r="AI437" t="e">
        <f>IF(Y437="Yes",NA(),#REF!)</f>
        <v>#REF!</v>
      </c>
      <c r="AJ437" t="e">
        <f>IF(Y437="Yes",NA(),#REF!)</f>
        <v>#REF!</v>
      </c>
      <c r="AK437" t="e">
        <f>IF(Y437="Yes",NA(),#REF!)</f>
        <v>#REF!</v>
      </c>
    </row>
    <row r="438" spans="1:37" x14ac:dyDescent="0.35">
      <c r="A438" s="12">
        <v>438</v>
      </c>
      <c r="C438">
        <v>46</v>
      </c>
      <c r="E438" s="2">
        <v>7.5</v>
      </c>
      <c r="F438" s="2">
        <v>7</v>
      </c>
      <c r="G438" t="s">
        <v>70</v>
      </c>
      <c r="H438" t="s">
        <v>35</v>
      </c>
      <c r="J438" s="14">
        <f t="shared" si="28"/>
        <v>248.29999999999998</v>
      </c>
      <c r="K438">
        <v>1300</v>
      </c>
      <c r="N438" t="s">
        <v>823</v>
      </c>
      <c r="Q438">
        <v>1</v>
      </c>
      <c r="U438">
        <v>3</v>
      </c>
      <c r="W438" t="s">
        <v>841</v>
      </c>
      <c r="X438" t="s">
        <v>40</v>
      </c>
      <c r="Y438" t="s">
        <v>40</v>
      </c>
      <c r="AA438">
        <f t="shared" si="30"/>
        <v>24.83</v>
      </c>
      <c r="AB438">
        <v>78</v>
      </c>
      <c r="AC438">
        <f t="shared" si="32"/>
        <v>0.47783624261100749</v>
      </c>
      <c r="AI438" t="e">
        <f>IF(Y438="Yes",NA(),#REF!)</f>
        <v>#N/A</v>
      </c>
      <c r="AJ438" t="e">
        <f>IF(Y438="Yes",NA(),#REF!)</f>
        <v>#N/A</v>
      </c>
      <c r="AK438" t="e">
        <f>IF(Y438="Yes",NA(),#REF!)</f>
        <v>#N/A</v>
      </c>
    </row>
    <row r="439" spans="1:37" x14ac:dyDescent="0.35">
      <c r="A439" s="12">
        <v>439</v>
      </c>
      <c r="C439">
        <v>46</v>
      </c>
      <c r="E439" s="2">
        <v>7</v>
      </c>
      <c r="F439" s="2">
        <v>8</v>
      </c>
      <c r="G439" t="s">
        <v>66</v>
      </c>
      <c r="H439" t="s">
        <v>323</v>
      </c>
      <c r="J439" s="14">
        <f t="shared" si="28"/>
        <v>280.10000000000002</v>
      </c>
      <c r="K439">
        <v>1300</v>
      </c>
      <c r="N439" t="s">
        <v>842</v>
      </c>
      <c r="Q439">
        <v>1</v>
      </c>
      <c r="U439">
        <v>3</v>
      </c>
      <c r="W439" t="s">
        <v>843</v>
      </c>
      <c r="X439" t="s">
        <v>40</v>
      </c>
      <c r="Y439" t="s">
        <v>40</v>
      </c>
      <c r="Z439" t="s">
        <v>844</v>
      </c>
      <c r="AA439">
        <f t="shared" si="30"/>
        <v>28.01</v>
      </c>
      <c r="AB439" s="26">
        <v>88</v>
      </c>
      <c r="AC439">
        <f t="shared" si="32"/>
        <v>0.60821233773498384</v>
      </c>
      <c r="AI439" t="e">
        <f>IF(Y439="Yes",NA(),#REF!)</f>
        <v>#N/A</v>
      </c>
      <c r="AJ439" t="e">
        <f>IF(Y439="Yes",NA(),#REF!)</f>
        <v>#N/A</v>
      </c>
      <c r="AK439" t="e">
        <f>IF(Y439="Yes",NA(),#REF!)</f>
        <v>#N/A</v>
      </c>
    </row>
    <row r="440" spans="1:37" x14ac:dyDescent="0.35">
      <c r="A440" s="12">
        <v>440</v>
      </c>
      <c r="C440">
        <v>46</v>
      </c>
      <c r="E440" s="2">
        <v>1.8</v>
      </c>
      <c r="F440" s="2">
        <v>6</v>
      </c>
      <c r="G440" t="s">
        <v>63</v>
      </c>
      <c r="H440" t="s">
        <v>64</v>
      </c>
      <c r="J440" s="14">
        <f t="shared" ref="J440:J503" si="33">ROUND(AB440/PI(), 2)*10</f>
        <v>148</v>
      </c>
      <c r="K440">
        <v>1300</v>
      </c>
      <c r="N440" t="s">
        <v>54</v>
      </c>
      <c r="Q440" t="s">
        <v>38</v>
      </c>
      <c r="W440" t="s">
        <v>845</v>
      </c>
      <c r="AA440">
        <f t="shared" si="30"/>
        <v>14.8</v>
      </c>
      <c r="AB440">
        <v>46.5</v>
      </c>
      <c r="AC440">
        <f t="shared" si="32"/>
        <v>0.16982271788061323</v>
      </c>
      <c r="AI440" t="e">
        <f>IF(Y440="Yes",NA(),#REF!)</f>
        <v>#REF!</v>
      </c>
      <c r="AJ440" t="e">
        <f>IF(Y440="Yes",NA(),#REF!)</f>
        <v>#REF!</v>
      </c>
      <c r="AK440" t="e">
        <f>IF(Y440="Yes",NA(),#REF!)</f>
        <v>#REF!</v>
      </c>
    </row>
    <row r="441" spans="1:37" x14ac:dyDescent="0.35">
      <c r="A441" s="12">
        <v>441</v>
      </c>
      <c r="C441">
        <v>46</v>
      </c>
      <c r="E441" s="2">
        <v>1</v>
      </c>
      <c r="F441" s="2" t="s">
        <v>846</v>
      </c>
      <c r="G441" t="s">
        <v>63</v>
      </c>
      <c r="H441" t="s">
        <v>64</v>
      </c>
      <c r="J441" s="14">
        <f t="shared" si="33"/>
        <v>142</v>
      </c>
      <c r="K441">
        <v>1300</v>
      </c>
      <c r="N441" t="s">
        <v>54</v>
      </c>
      <c r="Q441" t="s">
        <v>38</v>
      </c>
      <c r="W441" t="s">
        <v>847</v>
      </c>
      <c r="AA441">
        <f t="shared" si="30"/>
        <v>14.2</v>
      </c>
      <c r="AB441">
        <v>44.6</v>
      </c>
      <c r="AC441">
        <f t="shared" si="32"/>
        <v>0.15622826107036683</v>
      </c>
      <c r="AI441" t="e">
        <f>IF(Y441="Yes",NA(),#REF!)</f>
        <v>#REF!</v>
      </c>
      <c r="AJ441" t="e">
        <f>IF(Y441="Yes",NA(),#REF!)</f>
        <v>#REF!</v>
      </c>
      <c r="AK441" t="e">
        <f>IF(Y441="Yes",NA(),#REF!)</f>
        <v>#REF!</v>
      </c>
    </row>
    <row r="442" spans="1:37" x14ac:dyDescent="0.35">
      <c r="A442" s="12">
        <v>442</v>
      </c>
      <c r="C442">
        <v>47</v>
      </c>
      <c r="E442" s="2">
        <v>0.1</v>
      </c>
      <c r="F442" s="2">
        <v>2</v>
      </c>
      <c r="G442" t="s">
        <v>70</v>
      </c>
      <c r="H442" t="s">
        <v>161</v>
      </c>
      <c r="J442" s="14">
        <f t="shared" si="33"/>
        <v>152.79999999999998</v>
      </c>
      <c r="K442">
        <v>1300</v>
      </c>
      <c r="N442" t="s">
        <v>54</v>
      </c>
      <c r="Q442" t="s">
        <v>38</v>
      </c>
      <c r="U442">
        <v>3</v>
      </c>
      <c r="W442" t="s">
        <v>848</v>
      </c>
      <c r="X442" t="s">
        <v>40</v>
      </c>
      <c r="Y442" t="s">
        <v>40</v>
      </c>
      <c r="AA442">
        <f t="shared" si="30"/>
        <v>15.28</v>
      </c>
      <c r="AB442">
        <v>48</v>
      </c>
      <c r="AC442">
        <f t="shared" si="32"/>
        <v>0.18095573684677208</v>
      </c>
      <c r="AI442" t="e">
        <f>IF(Y442="Yes",NA(),#REF!)</f>
        <v>#N/A</v>
      </c>
      <c r="AJ442" t="e">
        <f>IF(Y442="Yes",NA(),#REF!)</f>
        <v>#N/A</v>
      </c>
      <c r="AK442" t="e">
        <f>IF(Y442="Yes",NA(),#REF!)</f>
        <v>#N/A</v>
      </c>
    </row>
    <row r="443" spans="1:37" x14ac:dyDescent="0.35">
      <c r="A443" s="12">
        <v>443</v>
      </c>
      <c r="C443">
        <v>47</v>
      </c>
      <c r="E443" s="2">
        <v>0.6</v>
      </c>
      <c r="F443" s="2">
        <v>2</v>
      </c>
      <c r="G443" t="s">
        <v>63</v>
      </c>
      <c r="H443" t="s">
        <v>64</v>
      </c>
      <c r="J443" s="14">
        <f t="shared" si="33"/>
        <v>133.69999999999999</v>
      </c>
      <c r="K443">
        <v>1300</v>
      </c>
      <c r="N443" t="s">
        <v>54</v>
      </c>
      <c r="Q443" t="s">
        <v>38</v>
      </c>
      <c r="W443" t="s">
        <v>849</v>
      </c>
      <c r="AA443">
        <f t="shared" si="30"/>
        <v>13.37</v>
      </c>
      <c r="AB443">
        <v>42</v>
      </c>
      <c r="AC443">
        <f t="shared" si="32"/>
        <v>0.1385442360233099</v>
      </c>
      <c r="AI443" t="e">
        <f>IF(Y443="Yes",NA(),#REF!)</f>
        <v>#REF!</v>
      </c>
      <c r="AJ443" t="e">
        <f>IF(Y443="Yes",NA(),#REF!)</f>
        <v>#REF!</v>
      </c>
      <c r="AK443" t="e">
        <f>IF(Y443="Yes",NA(),#REF!)</f>
        <v>#REF!</v>
      </c>
    </row>
    <row r="444" spans="1:37" x14ac:dyDescent="0.35">
      <c r="A444" s="12">
        <v>444</v>
      </c>
      <c r="C444">
        <v>47</v>
      </c>
      <c r="E444" s="2">
        <v>2</v>
      </c>
      <c r="F444" s="2">
        <v>5.5</v>
      </c>
      <c r="G444" t="s">
        <v>63</v>
      </c>
      <c r="H444" t="s">
        <v>64</v>
      </c>
      <c r="J444" s="14">
        <f t="shared" si="33"/>
        <v>136.6</v>
      </c>
      <c r="K444">
        <v>1300</v>
      </c>
      <c r="N444" t="s">
        <v>54</v>
      </c>
      <c r="Q444" t="s">
        <v>38</v>
      </c>
      <c r="W444" t="s">
        <v>850</v>
      </c>
      <c r="AA444">
        <f t="shared" si="30"/>
        <v>13.66</v>
      </c>
      <c r="AB444">
        <v>42.9</v>
      </c>
      <c r="AC444">
        <f t="shared" si="32"/>
        <v>0.14454546338982976</v>
      </c>
      <c r="AI444" t="e">
        <f>IF(Y444="Yes",NA(),#REF!)</f>
        <v>#REF!</v>
      </c>
      <c r="AJ444" t="e">
        <f>IF(Y444="Yes",NA(),#REF!)</f>
        <v>#REF!</v>
      </c>
      <c r="AK444" t="e">
        <f>IF(Y444="Yes",NA(),#REF!)</f>
        <v>#REF!</v>
      </c>
    </row>
    <row r="445" spans="1:37" x14ac:dyDescent="0.35">
      <c r="A445" s="12">
        <v>445</v>
      </c>
      <c r="C445">
        <v>47</v>
      </c>
      <c r="E445" s="2">
        <v>2</v>
      </c>
      <c r="F445" s="2">
        <v>5.7</v>
      </c>
      <c r="G445" t="s">
        <v>242</v>
      </c>
      <c r="H445" s="20" t="s">
        <v>243</v>
      </c>
      <c r="J445" s="14">
        <f t="shared" si="33"/>
        <v>252.7</v>
      </c>
      <c r="K445">
        <v>1300</v>
      </c>
      <c r="N445" t="s">
        <v>54</v>
      </c>
      <c r="Q445">
        <v>4</v>
      </c>
      <c r="U445">
        <v>3</v>
      </c>
      <c r="W445" t="s">
        <v>851</v>
      </c>
      <c r="X445" t="s">
        <v>40</v>
      </c>
      <c r="Y445" t="s">
        <v>40</v>
      </c>
      <c r="AA445">
        <f t="shared" si="30"/>
        <v>25.27</v>
      </c>
      <c r="AB445" s="26">
        <v>79.400000000000006</v>
      </c>
      <c r="AC445">
        <f t="shared" si="32"/>
        <v>0.49514327653963375</v>
      </c>
      <c r="AI445" t="e">
        <f>IF(Y445="Yes",NA(),#REF!)</f>
        <v>#N/A</v>
      </c>
      <c r="AJ445" t="e">
        <f>IF(Y445="Yes",NA(),#REF!)</f>
        <v>#N/A</v>
      </c>
      <c r="AK445" t="e">
        <f>IF(Y445="Yes",NA(),#REF!)</f>
        <v>#N/A</v>
      </c>
    </row>
    <row r="446" spans="1:37" ht="12" customHeight="1" x14ac:dyDescent="0.35">
      <c r="A446" s="12">
        <v>446</v>
      </c>
      <c r="C446">
        <v>47</v>
      </c>
      <c r="E446" s="2">
        <v>6</v>
      </c>
      <c r="F446" s="2">
        <v>1.5</v>
      </c>
      <c r="G446" t="s">
        <v>333</v>
      </c>
      <c r="H446" t="s">
        <v>334</v>
      </c>
      <c r="J446" s="14">
        <f t="shared" si="33"/>
        <v>107.30000000000001</v>
      </c>
      <c r="K446">
        <v>1300</v>
      </c>
      <c r="N446" t="s">
        <v>54</v>
      </c>
      <c r="Q446" t="s">
        <v>55</v>
      </c>
      <c r="W446" t="s">
        <v>852</v>
      </c>
      <c r="X446" t="s">
        <v>40</v>
      </c>
      <c r="Y446" t="s">
        <v>40</v>
      </c>
      <c r="AA446">
        <f t="shared" si="30"/>
        <v>10.73</v>
      </c>
      <c r="AB446">
        <v>33.700000000000003</v>
      </c>
      <c r="AC446">
        <f t="shared" si="32"/>
        <v>8.9196884018884828E-2</v>
      </c>
      <c r="AI446" t="e">
        <f>IF(Y446="Yes",NA(),#REF!)</f>
        <v>#N/A</v>
      </c>
      <c r="AJ446" t="e">
        <f>IF(Y446="Yes",NA(),#REF!)</f>
        <v>#N/A</v>
      </c>
      <c r="AK446" t="e">
        <f>IF(Y446="Yes",NA(),#REF!)</f>
        <v>#N/A</v>
      </c>
    </row>
    <row r="447" spans="1:37" x14ac:dyDescent="0.35">
      <c r="A447" s="12">
        <v>447</v>
      </c>
      <c r="C447">
        <v>47</v>
      </c>
      <c r="E447" s="2">
        <v>9.5</v>
      </c>
      <c r="F447" s="2">
        <v>1</v>
      </c>
      <c r="G447" t="s">
        <v>34</v>
      </c>
      <c r="H447" t="s">
        <v>35</v>
      </c>
      <c r="J447" s="14">
        <f t="shared" si="33"/>
        <v>131.80000000000001</v>
      </c>
      <c r="K447">
        <v>1300</v>
      </c>
      <c r="N447" t="s">
        <v>54</v>
      </c>
      <c r="Q447" t="s">
        <v>259</v>
      </c>
      <c r="W447" t="s">
        <v>853</v>
      </c>
      <c r="X447" t="s">
        <v>40</v>
      </c>
      <c r="Y447" t="s">
        <v>40</v>
      </c>
      <c r="AA447">
        <f t="shared" si="30"/>
        <v>13.18</v>
      </c>
      <c r="AB447">
        <v>41.4</v>
      </c>
      <c r="AC447">
        <f t="shared" si="32"/>
        <v>0.13461410361366904</v>
      </c>
      <c r="AI447" t="e">
        <f>IF(Y447="Yes",NA(),#REF!)</f>
        <v>#N/A</v>
      </c>
      <c r="AJ447" t="e">
        <f>IF(Y447="Yes",NA(),#REF!)</f>
        <v>#N/A</v>
      </c>
      <c r="AK447" t="e">
        <f>IF(Y447="Yes",NA(),#REF!)</f>
        <v>#N/A</v>
      </c>
    </row>
    <row r="448" spans="1:37" x14ac:dyDescent="0.35">
      <c r="A448" s="12">
        <v>448</v>
      </c>
      <c r="C448">
        <v>47</v>
      </c>
      <c r="E448" s="2">
        <v>9</v>
      </c>
      <c r="F448" s="2">
        <v>9</v>
      </c>
      <c r="G448" t="s">
        <v>34</v>
      </c>
      <c r="H448" t="s">
        <v>35</v>
      </c>
      <c r="J448" s="14">
        <f t="shared" si="33"/>
        <v>133.69999999999999</v>
      </c>
      <c r="K448">
        <v>1300</v>
      </c>
      <c r="N448" t="s">
        <v>54</v>
      </c>
      <c r="Q448" t="s">
        <v>38</v>
      </c>
      <c r="R448">
        <v>1</v>
      </c>
      <c r="W448" t="s">
        <v>854</v>
      </c>
      <c r="X448" t="s">
        <v>40</v>
      </c>
      <c r="Y448" t="s">
        <v>40</v>
      </c>
      <c r="Z448" t="s">
        <v>855</v>
      </c>
      <c r="AA448">
        <f t="shared" si="30"/>
        <v>13.37</v>
      </c>
      <c r="AB448">
        <v>42</v>
      </c>
      <c r="AC448">
        <f t="shared" si="32"/>
        <v>0.1385442360233099</v>
      </c>
      <c r="AI448" t="e">
        <f>IF(Y448="Yes",NA(),#REF!)</f>
        <v>#N/A</v>
      </c>
      <c r="AJ448" t="e">
        <f>IF(Y448="Yes",NA(),#REF!)</f>
        <v>#N/A</v>
      </c>
      <c r="AK448" t="e">
        <f>IF(Y448="Yes",NA(),#REF!)</f>
        <v>#N/A</v>
      </c>
    </row>
    <row r="449" spans="1:37" x14ac:dyDescent="0.35">
      <c r="A449" s="12">
        <v>449</v>
      </c>
      <c r="C449">
        <v>47</v>
      </c>
      <c r="E449" s="2">
        <v>4</v>
      </c>
      <c r="F449" s="2">
        <v>7</v>
      </c>
      <c r="G449" t="s">
        <v>34</v>
      </c>
      <c r="H449" t="s">
        <v>155</v>
      </c>
      <c r="J449" s="14">
        <f t="shared" si="33"/>
        <v>109.80000000000001</v>
      </c>
      <c r="K449">
        <v>1300</v>
      </c>
      <c r="N449" t="s">
        <v>54</v>
      </c>
      <c r="Q449" t="s">
        <v>55</v>
      </c>
      <c r="U449">
        <v>3</v>
      </c>
      <c r="W449" t="s">
        <v>856</v>
      </c>
      <c r="X449" t="s">
        <v>40</v>
      </c>
      <c r="Y449" t="s">
        <v>40</v>
      </c>
      <c r="AA449">
        <f t="shared" si="30"/>
        <v>10.98</v>
      </c>
      <c r="AB449">
        <v>34.5</v>
      </c>
      <c r="AC449">
        <f t="shared" si="32"/>
        <v>9.3482016398381274E-2</v>
      </c>
      <c r="AI449" t="e">
        <f>IF(Y449="Yes",NA(),#REF!)</f>
        <v>#N/A</v>
      </c>
      <c r="AJ449" t="e">
        <f>IF(Y449="Yes",NA(),#REF!)</f>
        <v>#N/A</v>
      </c>
      <c r="AK449" t="e">
        <f>IF(Y449="Yes",NA(),#REF!)</f>
        <v>#N/A</v>
      </c>
    </row>
    <row r="450" spans="1:37" x14ac:dyDescent="0.35">
      <c r="A450" s="12">
        <v>450</v>
      </c>
      <c r="C450">
        <v>47</v>
      </c>
      <c r="E450" s="2">
        <v>1.5</v>
      </c>
      <c r="F450" s="2">
        <v>7</v>
      </c>
      <c r="G450" t="s">
        <v>178</v>
      </c>
      <c r="H450" t="s">
        <v>179</v>
      </c>
      <c r="J450" s="14">
        <f t="shared" si="33"/>
        <v>480.6</v>
      </c>
      <c r="K450">
        <v>1300</v>
      </c>
      <c r="N450" t="s">
        <v>37</v>
      </c>
      <c r="Q450">
        <v>5</v>
      </c>
      <c r="U450">
        <v>2</v>
      </c>
      <c r="W450" t="s">
        <v>857</v>
      </c>
      <c r="X450" t="s">
        <v>40</v>
      </c>
      <c r="Y450" t="s">
        <v>40</v>
      </c>
      <c r="Z450" t="s">
        <v>858</v>
      </c>
      <c r="AA450">
        <f t="shared" si="30"/>
        <v>48.06</v>
      </c>
      <c r="AB450">
        <v>151</v>
      </c>
      <c r="AC450">
        <f t="shared" si="32"/>
        <v>1.7907863523625216</v>
      </c>
      <c r="AI450" t="e">
        <f>IF(Y450="Yes",NA(),#REF!)</f>
        <v>#N/A</v>
      </c>
      <c r="AJ450" t="e">
        <f>IF(Y450="Yes",NA(),#REF!)</f>
        <v>#N/A</v>
      </c>
      <c r="AK450" t="e">
        <f>IF(Y450="Yes",NA(),#REF!)</f>
        <v>#N/A</v>
      </c>
    </row>
    <row r="451" spans="1:37" x14ac:dyDescent="0.35">
      <c r="A451" s="12">
        <v>451</v>
      </c>
      <c r="C451">
        <v>47</v>
      </c>
      <c r="E451" s="2">
        <v>1.3</v>
      </c>
      <c r="F451" s="2">
        <v>7.5</v>
      </c>
      <c r="G451" t="s">
        <v>213</v>
      </c>
      <c r="H451" t="s">
        <v>342</v>
      </c>
      <c r="J451" s="14">
        <f t="shared" si="33"/>
        <v>385.20000000000005</v>
      </c>
      <c r="K451">
        <v>1300</v>
      </c>
      <c r="N451" t="s">
        <v>297</v>
      </c>
      <c r="Q451">
        <v>5</v>
      </c>
      <c r="U451">
        <v>2</v>
      </c>
      <c r="W451" t="s">
        <v>859</v>
      </c>
      <c r="X451" t="s">
        <v>240</v>
      </c>
      <c r="Y451" t="s">
        <v>40</v>
      </c>
      <c r="Z451" t="s">
        <v>858</v>
      </c>
      <c r="AA451">
        <f t="shared" ref="AA451:AA514" si="34">ROUND(AB451/PI(), 2)</f>
        <v>38.520000000000003</v>
      </c>
      <c r="AB451">
        <v>121</v>
      </c>
      <c r="AC451">
        <f t="shared" si="32"/>
        <v>1.1499014510302041</v>
      </c>
      <c r="AI451" t="e">
        <f>IF(Y451="Yes",NA(),#REF!)</f>
        <v>#N/A</v>
      </c>
      <c r="AJ451" t="e">
        <f>IF(Y451="Yes",NA(),#REF!)</f>
        <v>#N/A</v>
      </c>
      <c r="AK451" t="e">
        <f>IF(Y451="Yes",NA(),#REF!)</f>
        <v>#N/A</v>
      </c>
    </row>
    <row r="452" spans="1:37" x14ac:dyDescent="0.35">
      <c r="A452" s="12">
        <v>452</v>
      </c>
      <c r="C452">
        <v>47</v>
      </c>
      <c r="E452" s="2">
        <v>1</v>
      </c>
      <c r="F452" s="2">
        <v>6.8</v>
      </c>
      <c r="G452" t="s">
        <v>145</v>
      </c>
      <c r="H452" t="s">
        <v>310</v>
      </c>
      <c r="J452" s="14">
        <f t="shared" si="33"/>
        <v>146.1</v>
      </c>
      <c r="K452">
        <v>1300</v>
      </c>
      <c r="N452" t="s">
        <v>54</v>
      </c>
      <c r="Q452" t="s">
        <v>259</v>
      </c>
      <c r="W452" t="s">
        <v>860</v>
      </c>
      <c r="X452" t="s">
        <v>40</v>
      </c>
      <c r="Y452" t="s">
        <v>40</v>
      </c>
      <c r="AA452">
        <f t="shared" si="34"/>
        <v>14.61</v>
      </c>
      <c r="AB452">
        <v>45.9</v>
      </c>
      <c r="AC452">
        <f t="shared" si="32"/>
        <v>0.1654684704627378</v>
      </c>
      <c r="AD452" s="28"/>
      <c r="AE452" s="28"/>
      <c r="AF452" s="28"/>
      <c r="AG452" s="28"/>
      <c r="AH452" s="28"/>
      <c r="AI452" s="28" t="e">
        <f>IF(Y452="Yes",NA(),#REF!)</f>
        <v>#N/A</v>
      </c>
      <c r="AJ452" s="28" t="e">
        <f>IF(Y452="Yes",NA(),#REF!)</f>
        <v>#N/A</v>
      </c>
      <c r="AK452" s="28" t="e">
        <f>IF(Y452="Yes",NA(),#REF!)</f>
        <v>#N/A</v>
      </c>
    </row>
    <row r="453" spans="1:37" x14ac:dyDescent="0.35">
      <c r="A453" s="12">
        <v>453</v>
      </c>
      <c r="C453">
        <v>48</v>
      </c>
      <c r="E453" s="23">
        <v>2</v>
      </c>
      <c r="F453" s="23">
        <v>0.5</v>
      </c>
      <c r="G453" t="s">
        <v>231</v>
      </c>
      <c r="H453" t="s">
        <v>232</v>
      </c>
      <c r="J453" s="14">
        <f t="shared" si="33"/>
        <v>141.6</v>
      </c>
      <c r="K453">
        <v>1300</v>
      </c>
      <c r="N453" t="s">
        <v>54</v>
      </c>
      <c r="Q453" t="s">
        <v>38</v>
      </c>
      <c r="W453" t="s">
        <v>861</v>
      </c>
      <c r="X453" t="s">
        <v>40</v>
      </c>
      <c r="Y453" t="s">
        <v>40</v>
      </c>
      <c r="AA453">
        <f t="shared" si="34"/>
        <v>14.16</v>
      </c>
      <c r="AB453" s="26">
        <v>44.5</v>
      </c>
      <c r="AC453">
        <f t="shared" si="32"/>
        <v>0.15552847130677971</v>
      </c>
      <c r="AI453" t="e">
        <f>IF(Y453="Yes",NA(),#REF!)</f>
        <v>#N/A</v>
      </c>
      <c r="AJ453" t="e">
        <f>IF(Y453="Yes",NA(),#REF!)</f>
        <v>#N/A</v>
      </c>
      <c r="AK453" t="e">
        <f>IF(Y453="Yes",NA(),#REF!)</f>
        <v>#N/A</v>
      </c>
    </row>
    <row r="454" spans="1:37" x14ac:dyDescent="0.35">
      <c r="A454" s="12">
        <v>454</v>
      </c>
      <c r="C454">
        <v>48</v>
      </c>
      <c r="E454" s="2">
        <v>5</v>
      </c>
      <c r="F454" s="2">
        <v>0.5</v>
      </c>
      <c r="G454" t="s">
        <v>47</v>
      </c>
      <c r="H454" t="s">
        <v>35</v>
      </c>
      <c r="J454" s="14">
        <f t="shared" si="33"/>
        <v>230.10000000000002</v>
      </c>
      <c r="K454">
        <v>1300</v>
      </c>
      <c r="N454" t="s">
        <v>54</v>
      </c>
      <c r="Q454">
        <v>4</v>
      </c>
      <c r="W454" t="s">
        <v>862</v>
      </c>
      <c r="X454" t="s">
        <v>40</v>
      </c>
      <c r="Y454" t="s">
        <v>40</v>
      </c>
      <c r="AA454">
        <f t="shared" si="34"/>
        <v>23.01</v>
      </c>
      <c r="AB454">
        <v>72.3</v>
      </c>
      <c r="AC454">
        <f t="shared" si="32"/>
        <v>0.4105503965545847</v>
      </c>
      <c r="AI454" t="e">
        <f>IF(Y454="Yes",NA(),#REF!)</f>
        <v>#N/A</v>
      </c>
      <c r="AJ454" t="e">
        <f>IF(Y454="Yes",NA(),#REF!)</f>
        <v>#N/A</v>
      </c>
      <c r="AK454" t="e">
        <f>IF(Y454="Yes",NA(),#REF!)</f>
        <v>#N/A</v>
      </c>
    </row>
    <row r="455" spans="1:37" x14ac:dyDescent="0.35">
      <c r="A455" s="12">
        <v>455</v>
      </c>
      <c r="C455">
        <v>48</v>
      </c>
      <c r="E455" s="2">
        <v>9.5</v>
      </c>
      <c r="F455" s="2">
        <v>1</v>
      </c>
      <c r="G455" t="s">
        <v>59</v>
      </c>
      <c r="H455" t="s">
        <v>863</v>
      </c>
      <c r="J455" s="14">
        <f t="shared" si="33"/>
        <v>198.29999999999998</v>
      </c>
      <c r="K455">
        <v>1300</v>
      </c>
      <c r="N455" t="s">
        <v>297</v>
      </c>
      <c r="Q455" t="s">
        <v>38</v>
      </c>
      <c r="W455" t="s">
        <v>864</v>
      </c>
      <c r="X455" t="s">
        <v>40</v>
      </c>
      <c r="Y455" t="s">
        <v>40</v>
      </c>
      <c r="AA455">
        <f t="shared" si="34"/>
        <v>19.829999999999998</v>
      </c>
      <c r="AB455">
        <v>62.3</v>
      </c>
      <c r="AC455">
        <f t="shared" si="32"/>
        <v>0.30483580376128816</v>
      </c>
      <c r="AI455" t="e">
        <f>IF(Y455="Yes",NA(),#REF!)</f>
        <v>#N/A</v>
      </c>
      <c r="AJ455" t="e">
        <f>IF(Y455="Yes",NA(),#REF!)</f>
        <v>#N/A</v>
      </c>
      <c r="AK455" t="e">
        <f>IF(Y455="Yes",NA(),#REF!)</f>
        <v>#N/A</v>
      </c>
    </row>
    <row r="456" spans="1:37" x14ac:dyDescent="0.35">
      <c r="A456" s="12">
        <v>456</v>
      </c>
      <c r="C456">
        <v>48</v>
      </c>
      <c r="E456" s="2">
        <v>9</v>
      </c>
      <c r="F456" s="2">
        <v>1.5</v>
      </c>
      <c r="G456" t="s">
        <v>114</v>
      </c>
      <c r="H456" t="s">
        <v>35</v>
      </c>
      <c r="J456" s="14">
        <f t="shared" si="33"/>
        <v>140.1</v>
      </c>
      <c r="K456">
        <v>1300</v>
      </c>
      <c r="N456" t="s">
        <v>54</v>
      </c>
      <c r="Q456" t="s">
        <v>38</v>
      </c>
      <c r="W456" t="s">
        <v>865</v>
      </c>
      <c r="X456" t="s">
        <v>40</v>
      </c>
      <c r="Y456" t="s">
        <v>40</v>
      </c>
      <c r="Z456" t="s">
        <v>866</v>
      </c>
      <c r="AA456">
        <f t="shared" si="34"/>
        <v>14.01</v>
      </c>
      <c r="AB456">
        <v>44</v>
      </c>
      <c r="AC456">
        <f t="shared" si="32"/>
        <v>0.15205308443374596</v>
      </c>
      <c r="AI456" t="e">
        <f>IF(Y456="Yes",NA(),#REF!)</f>
        <v>#N/A</v>
      </c>
      <c r="AJ456" t="e">
        <f>IF(Y456="Yes",NA(),#REF!)</f>
        <v>#N/A</v>
      </c>
      <c r="AK456" t="e">
        <f>IF(Y456="Yes",NA(),#REF!)</f>
        <v>#N/A</v>
      </c>
    </row>
    <row r="457" spans="1:37" x14ac:dyDescent="0.35">
      <c r="A457" s="12">
        <v>457</v>
      </c>
      <c r="C457">
        <v>48</v>
      </c>
      <c r="E457" s="2">
        <v>8</v>
      </c>
      <c r="F457" s="2">
        <v>7</v>
      </c>
      <c r="G457" t="s">
        <v>47</v>
      </c>
      <c r="H457" t="s">
        <v>767</v>
      </c>
      <c r="J457" s="14">
        <f t="shared" si="33"/>
        <v>114.3</v>
      </c>
      <c r="K457">
        <v>1300</v>
      </c>
      <c r="N457" t="s">
        <v>54</v>
      </c>
      <c r="Q457" t="s">
        <v>152</v>
      </c>
      <c r="W457" t="s">
        <v>867</v>
      </c>
      <c r="X457" t="s">
        <v>40</v>
      </c>
      <c r="Y457" t="s">
        <v>40</v>
      </c>
      <c r="AA457">
        <f t="shared" si="34"/>
        <v>11.43</v>
      </c>
      <c r="AB457" s="26">
        <v>35.9</v>
      </c>
      <c r="AC457">
        <f t="shared" si="32"/>
        <v>0.10122290069682653</v>
      </c>
      <c r="AI457" t="e">
        <f>IF(Y457="Yes",NA(),#REF!)</f>
        <v>#N/A</v>
      </c>
      <c r="AJ457" t="e">
        <f>IF(Y457="Yes",NA(),#REF!)</f>
        <v>#N/A</v>
      </c>
      <c r="AK457" t="e">
        <f>IF(Y457="Yes",NA(),#REF!)</f>
        <v>#N/A</v>
      </c>
    </row>
    <row r="458" spans="1:37" x14ac:dyDescent="0.35">
      <c r="A458" s="12">
        <v>458</v>
      </c>
      <c r="C458">
        <v>48</v>
      </c>
      <c r="E458" s="2">
        <v>8</v>
      </c>
      <c r="F458" s="2">
        <v>9</v>
      </c>
      <c r="G458" t="s">
        <v>42</v>
      </c>
      <c r="H458" t="s">
        <v>577</v>
      </c>
      <c r="J458" s="14">
        <f t="shared" si="33"/>
        <v>184.60000000000002</v>
      </c>
      <c r="K458">
        <v>1300</v>
      </c>
      <c r="N458" t="s">
        <v>54</v>
      </c>
      <c r="Q458">
        <v>4</v>
      </c>
      <c r="U458">
        <v>4</v>
      </c>
      <c r="W458" t="s">
        <v>868</v>
      </c>
      <c r="X458" t="s">
        <v>40</v>
      </c>
      <c r="Y458" t="s">
        <v>40</v>
      </c>
      <c r="Z458" t="s">
        <v>869</v>
      </c>
      <c r="AA458">
        <f t="shared" si="34"/>
        <v>18.46</v>
      </c>
      <c r="AB458">
        <v>58</v>
      </c>
      <c r="AC458">
        <f t="shared" si="32"/>
        <v>0.26420794216690158</v>
      </c>
      <c r="AI458" t="e">
        <f>IF(Y458="Yes",NA(),#REF!)</f>
        <v>#N/A</v>
      </c>
      <c r="AJ458" t="e">
        <f>IF(Y458="Yes",NA(),#REF!)</f>
        <v>#N/A</v>
      </c>
      <c r="AK458" t="e">
        <f>IF(Y458="Yes",NA(),#REF!)</f>
        <v>#N/A</v>
      </c>
    </row>
    <row r="459" spans="1:37" x14ac:dyDescent="0.35">
      <c r="A459" s="12">
        <v>459</v>
      </c>
      <c r="C459">
        <v>48</v>
      </c>
      <c r="E459" s="2">
        <v>7.5</v>
      </c>
      <c r="F459" s="2">
        <v>9</v>
      </c>
      <c r="G459" t="s">
        <v>66</v>
      </c>
      <c r="H459" t="s">
        <v>377</v>
      </c>
      <c r="J459" s="14">
        <f t="shared" si="33"/>
        <v>152.79999999999998</v>
      </c>
      <c r="K459">
        <v>1300</v>
      </c>
      <c r="N459" t="s">
        <v>54</v>
      </c>
      <c r="Q459" t="s">
        <v>38</v>
      </c>
      <c r="W459" t="s">
        <v>870</v>
      </c>
      <c r="X459" t="s">
        <v>40</v>
      </c>
      <c r="Y459" t="s">
        <v>40</v>
      </c>
      <c r="AA459">
        <f t="shared" si="34"/>
        <v>15.28</v>
      </c>
      <c r="AB459">
        <v>48</v>
      </c>
      <c r="AC459">
        <f t="shared" si="32"/>
        <v>0.18095573684677208</v>
      </c>
      <c r="AI459" t="e">
        <f>IF(Y459="Yes",NA(),#REF!)</f>
        <v>#N/A</v>
      </c>
      <c r="AJ459" t="e">
        <f>IF(Y459="Yes",NA(),#REF!)</f>
        <v>#N/A</v>
      </c>
      <c r="AK459" t="e">
        <f>IF(Y459="Yes",NA(),#REF!)</f>
        <v>#N/A</v>
      </c>
    </row>
    <row r="460" spans="1:37" x14ac:dyDescent="0.35">
      <c r="A460" s="12">
        <v>460</v>
      </c>
      <c r="C460">
        <v>48</v>
      </c>
      <c r="E460" s="2">
        <v>6</v>
      </c>
      <c r="F460" s="2">
        <v>9.5</v>
      </c>
      <c r="G460" t="s">
        <v>34</v>
      </c>
      <c r="H460" t="s">
        <v>35</v>
      </c>
      <c r="J460" s="14">
        <f t="shared" si="33"/>
        <v>253.1</v>
      </c>
      <c r="K460">
        <v>1300</v>
      </c>
      <c r="N460" t="s">
        <v>37</v>
      </c>
      <c r="Q460">
        <v>5</v>
      </c>
      <c r="W460" t="s">
        <v>871</v>
      </c>
      <c r="X460" t="s">
        <v>40</v>
      </c>
      <c r="Y460" t="s">
        <v>40</v>
      </c>
      <c r="AA460">
        <f t="shared" si="34"/>
        <v>25.31</v>
      </c>
      <c r="AB460">
        <v>79.5</v>
      </c>
      <c r="AC460">
        <f t="shared" si="32"/>
        <v>0.49639127422127222</v>
      </c>
      <c r="AI460" t="e">
        <f>IF(Y460="Yes",NA(),#REF!)</f>
        <v>#N/A</v>
      </c>
      <c r="AJ460" t="e">
        <f>IF(Y460="Yes",NA(),#REF!)</f>
        <v>#N/A</v>
      </c>
      <c r="AK460" t="e">
        <f>IF(Y460="Yes",NA(),#REF!)</f>
        <v>#N/A</v>
      </c>
    </row>
    <row r="461" spans="1:37" x14ac:dyDescent="0.35">
      <c r="A461" s="12">
        <v>461</v>
      </c>
      <c r="C461">
        <v>48</v>
      </c>
      <c r="E461" s="2">
        <v>6</v>
      </c>
      <c r="F461" s="2">
        <v>7</v>
      </c>
      <c r="G461" t="s">
        <v>47</v>
      </c>
      <c r="H461" t="s">
        <v>35</v>
      </c>
      <c r="J461" s="14">
        <f t="shared" si="33"/>
        <v>156.6</v>
      </c>
      <c r="K461">
        <v>1300</v>
      </c>
      <c r="N461" t="s">
        <v>54</v>
      </c>
      <c r="Q461">
        <v>4</v>
      </c>
      <c r="W461" t="s">
        <v>872</v>
      </c>
      <c r="X461" t="s">
        <v>40</v>
      </c>
      <c r="Y461" t="s">
        <v>40</v>
      </c>
      <c r="AA461">
        <f t="shared" si="34"/>
        <v>15.66</v>
      </c>
      <c r="AB461">
        <v>49.2</v>
      </c>
      <c r="AC461">
        <f t="shared" si="32"/>
        <v>0.19011662102463994</v>
      </c>
      <c r="AI461" t="e">
        <f>IF(Y461="Yes",NA(),#REF!)</f>
        <v>#N/A</v>
      </c>
      <c r="AJ461" t="e">
        <f>IF(Y461="Yes",NA(),#REF!)</f>
        <v>#N/A</v>
      </c>
      <c r="AK461" t="e">
        <f>IF(Y461="Yes",NA(),#REF!)</f>
        <v>#N/A</v>
      </c>
    </row>
    <row r="462" spans="1:37" x14ac:dyDescent="0.35">
      <c r="A462" s="12">
        <v>462</v>
      </c>
      <c r="C462">
        <v>48</v>
      </c>
      <c r="E462" s="2">
        <v>3</v>
      </c>
      <c r="F462" s="2">
        <v>9</v>
      </c>
      <c r="G462" t="s">
        <v>47</v>
      </c>
      <c r="H462" t="s">
        <v>35</v>
      </c>
      <c r="J462" s="14">
        <f t="shared" si="33"/>
        <v>284.89999999999998</v>
      </c>
      <c r="K462">
        <v>1300</v>
      </c>
      <c r="N462" t="s">
        <v>54</v>
      </c>
      <c r="Q462">
        <v>4</v>
      </c>
      <c r="W462" t="s">
        <v>873</v>
      </c>
      <c r="X462" t="s">
        <v>40</v>
      </c>
      <c r="Y462" t="s">
        <v>40</v>
      </c>
      <c r="AA462">
        <f t="shared" si="34"/>
        <v>28.49</v>
      </c>
      <c r="AB462">
        <v>89.5</v>
      </c>
      <c r="AC462">
        <f t="shared" si="32"/>
        <v>0.62912356383544099</v>
      </c>
      <c r="AI462" t="e">
        <f>IF(Y462="Yes",NA(),#REF!)</f>
        <v>#N/A</v>
      </c>
      <c r="AJ462" t="e">
        <f>IF(Y462="Yes",NA(),#REF!)</f>
        <v>#N/A</v>
      </c>
      <c r="AK462" t="e">
        <f>IF(Y462="Yes",NA(),#REF!)</f>
        <v>#N/A</v>
      </c>
    </row>
    <row r="463" spans="1:37" x14ac:dyDescent="0.35">
      <c r="A463" s="12">
        <v>463</v>
      </c>
      <c r="C463">
        <v>48</v>
      </c>
      <c r="E463" s="2">
        <v>3.3</v>
      </c>
      <c r="F463" s="2">
        <v>6.7</v>
      </c>
      <c r="G463" t="s">
        <v>42</v>
      </c>
      <c r="H463" t="s">
        <v>577</v>
      </c>
      <c r="J463" s="14">
        <f t="shared" si="33"/>
        <v>176.70000000000002</v>
      </c>
      <c r="K463">
        <v>1300</v>
      </c>
      <c r="N463" t="s">
        <v>54</v>
      </c>
      <c r="Q463" t="s">
        <v>55</v>
      </c>
      <c r="W463" t="s">
        <v>874</v>
      </c>
      <c r="X463" t="s">
        <v>40</v>
      </c>
      <c r="Y463" t="s">
        <v>40</v>
      </c>
      <c r="AA463">
        <f t="shared" si="34"/>
        <v>17.670000000000002</v>
      </c>
      <c r="AB463">
        <v>55.5</v>
      </c>
      <c r="AC463">
        <f t="shared" si="32"/>
        <v>0.24192226928049901</v>
      </c>
      <c r="AI463" t="e">
        <f>IF(Y463="Yes",NA(),#REF!)</f>
        <v>#N/A</v>
      </c>
      <c r="AJ463" t="e">
        <f>IF(Y463="Yes",NA(),#REF!)</f>
        <v>#N/A</v>
      </c>
      <c r="AK463" t="e">
        <f>IF(Y463="Yes",NA(),#REF!)</f>
        <v>#N/A</v>
      </c>
    </row>
    <row r="464" spans="1:37" x14ac:dyDescent="0.35">
      <c r="A464" s="12">
        <v>464</v>
      </c>
      <c r="C464">
        <v>49</v>
      </c>
      <c r="E464" s="2">
        <v>2.5</v>
      </c>
      <c r="F464" s="2">
        <v>0.2</v>
      </c>
      <c r="G464" t="s">
        <v>34</v>
      </c>
      <c r="H464" t="s">
        <v>35</v>
      </c>
      <c r="J464" s="14">
        <f t="shared" si="33"/>
        <v>168.70000000000002</v>
      </c>
      <c r="K464">
        <v>1300</v>
      </c>
      <c r="N464" t="s">
        <v>37</v>
      </c>
      <c r="Q464" t="s">
        <v>152</v>
      </c>
      <c r="W464" t="s">
        <v>875</v>
      </c>
      <c r="X464" t="s">
        <v>40</v>
      </c>
      <c r="Y464" t="s">
        <v>40</v>
      </c>
      <c r="AA464">
        <f t="shared" si="34"/>
        <v>16.87</v>
      </c>
      <c r="AB464">
        <v>53</v>
      </c>
      <c r="AC464">
        <f t="shared" si="32"/>
        <v>0.22061834409834324</v>
      </c>
      <c r="AI464" t="e">
        <f>IF(Y464="Yes",NA(),#REF!)</f>
        <v>#N/A</v>
      </c>
      <c r="AJ464" t="e">
        <f>IF(Y464="Yes",NA(),#REF!)</f>
        <v>#N/A</v>
      </c>
      <c r="AK464" t="e">
        <f>IF(Y464="Yes",NA(),#REF!)</f>
        <v>#N/A</v>
      </c>
    </row>
    <row r="465" spans="1:37" x14ac:dyDescent="0.35">
      <c r="A465" s="12">
        <v>465</v>
      </c>
      <c r="C465">
        <v>49</v>
      </c>
      <c r="E465" s="2">
        <v>3.5</v>
      </c>
      <c r="F465" s="2">
        <v>4</v>
      </c>
      <c r="G465" t="s">
        <v>114</v>
      </c>
      <c r="H465" t="s">
        <v>35</v>
      </c>
      <c r="J465" s="14">
        <f t="shared" si="33"/>
        <v>130.5</v>
      </c>
      <c r="K465">
        <v>1300</v>
      </c>
      <c r="N465" t="s">
        <v>54</v>
      </c>
      <c r="Q465" t="s">
        <v>38</v>
      </c>
      <c r="W465" t="s">
        <v>876</v>
      </c>
      <c r="X465" t="s">
        <v>40</v>
      </c>
      <c r="Y465" t="s">
        <v>40</v>
      </c>
      <c r="AA465">
        <f t="shared" si="34"/>
        <v>13.05</v>
      </c>
      <c r="AB465" s="26">
        <v>41</v>
      </c>
      <c r="AC465">
        <f t="shared" si="32"/>
        <v>0.13202543126711105</v>
      </c>
      <c r="AI465" t="e">
        <f>IF(Y465="Yes",NA(),#REF!)</f>
        <v>#N/A</v>
      </c>
      <c r="AJ465" t="e">
        <f>IF(Y465="Yes",NA(),#REF!)</f>
        <v>#N/A</v>
      </c>
      <c r="AK465" t="e">
        <f>IF(Y465="Yes",NA(),#REF!)</f>
        <v>#N/A</v>
      </c>
    </row>
    <row r="466" spans="1:37" x14ac:dyDescent="0.35">
      <c r="A466" s="12">
        <v>466</v>
      </c>
      <c r="C466">
        <v>49</v>
      </c>
      <c r="E466" s="2">
        <v>7</v>
      </c>
      <c r="F466" s="2">
        <v>2</v>
      </c>
      <c r="G466" t="s">
        <v>34</v>
      </c>
      <c r="H466" t="s">
        <v>35</v>
      </c>
      <c r="J466" s="14">
        <f t="shared" si="33"/>
        <v>121</v>
      </c>
      <c r="K466">
        <v>1300</v>
      </c>
      <c r="N466" t="s">
        <v>54</v>
      </c>
      <c r="Q466" t="s">
        <v>152</v>
      </c>
      <c r="W466" t="s">
        <v>877</v>
      </c>
      <c r="X466" t="s">
        <v>40</v>
      </c>
      <c r="Y466" t="s">
        <v>40</v>
      </c>
      <c r="AA466">
        <f t="shared" si="34"/>
        <v>12.1</v>
      </c>
      <c r="AB466">
        <v>38</v>
      </c>
      <c r="AC466">
        <f t="shared" si="32"/>
        <v>0.11341149479459152</v>
      </c>
      <c r="AI466" t="e">
        <f>IF(Y466="Yes",NA(),#REF!)</f>
        <v>#N/A</v>
      </c>
      <c r="AJ466" t="e">
        <f>IF(Y466="Yes",NA(),#REF!)</f>
        <v>#N/A</v>
      </c>
      <c r="AK466" t="e">
        <f>IF(Y466="Yes",NA(),#REF!)</f>
        <v>#N/A</v>
      </c>
    </row>
    <row r="467" spans="1:37" x14ac:dyDescent="0.35">
      <c r="A467" s="12">
        <v>467</v>
      </c>
      <c r="C467">
        <v>49</v>
      </c>
      <c r="E467" s="2">
        <v>7.5</v>
      </c>
      <c r="F467" s="2">
        <v>2</v>
      </c>
      <c r="G467" t="s">
        <v>114</v>
      </c>
      <c r="H467" t="s">
        <v>35</v>
      </c>
      <c r="I467" t="s">
        <v>878</v>
      </c>
      <c r="J467" s="14">
        <f t="shared" si="33"/>
        <v>164.60000000000002</v>
      </c>
      <c r="K467">
        <v>1300</v>
      </c>
      <c r="N467" t="s">
        <v>37</v>
      </c>
      <c r="Q467" t="s">
        <v>134</v>
      </c>
      <c r="W467" t="s">
        <v>879</v>
      </c>
      <c r="X467" t="s">
        <v>40</v>
      </c>
      <c r="Y467" t="s">
        <v>40</v>
      </c>
      <c r="AA467">
        <f t="shared" si="34"/>
        <v>16.46</v>
      </c>
      <c r="AB467">
        <v>51.7</v>
      </c>
      <c r="AC467">
        <f t="shared" si="32"/>
        <v>0.20992828969634061</v>
      </c>
      <c r="AI467" t="e">
        <f>IF(Y467="Yes",NA(),#REF!)</f>
        <v>#N/A</v>
      </c>
      <c r="AJ467" t="e">
        <f>IF(Y467="Yes",NA(),#REF!)</f>
        <v>#N/A</v>
      </c>
      <c r="AK467" t="e">
        <f>IF(Y467="Yes",NA(),#REF!)</f>
        <v>#N/A</v>
      </c>
    </row>
    <row r="468" spans="1:37" x14ac:dyDescent="0.35">
      <c r="A468" s="12">
        <v>468</v>
      </c>
      <c r="C468">
        <v>49</v>
      </c>
      <c r="E468" s="2">
        <v>9</v>
      </c>
      <c r="F468" s="2">
        <v>2.5</v>
      </c>
      <c r="G468" t="s">
        <v>145</v>
      </c>
      <c r="H468" t="s">
        <v>310</v>
      </c>
      <c r="J468" s="14">
        <f t="shared" si="33"/>
        <v>150.6</v>
      </c>
      <c r="K468">
        <v>1300</v>
      </c>
      <c r="N468" t="s">
        <v>823</v>
      </c>
      <c r="Q468">
        <v>1</v>
      </c>
      <c r="U468">
        <v>3</v>
      </c>
      <c r="W468" t="s">
        <v>880</v>
      </c>
      <c r="X468" t="s">
        <v>40</v>
      </c>
      <c r="Y468" t="s">
        <v>40</v>
      </c>
      <c r="AA468">
        <f t="shared" si="34"/>
        <v>15.06</v>
      </c>
      <c r="AB468">
        <v>47.3</v>
      </c>
      <c r="AC468">
        <f t="shared" si="32"/>
        <v>0.17571634569874769</v>
      </c>
      <c r="AI468" t="e">
        <f>IF(Y468="Yes",NA(),#REF!)</f>
        <v>#N/A</v>
      </c>
      <c r="AJ468" t="e">
        <f>IF(Y468="Yes",NA(),#REF!)</f>
        <v>#N/A</v>
      </c>
      <c r="AK468" t="e">
        <f>IF(Y468="Yes",NA(),#REF!)</f>
        <v>#N/A</v>
      </c>
    </row>
    <row r="469" spans="1:37" x14ac:dyDescent="0.35">
      <c r="A469" s="12">
        <v>469</v>
      </c>
      <c r="C469">
        <v>49</v>
      </c>
      <c r="E469" s="2">
        <v>9.5</v>
      </c>
      <c r="F469" s="2">
        <v>6</v>
      </c>
      <c r="G469" t="s">
        <v>108</v>
      </c>
      <c r="H469" t="s">
        <v>881</v>
      </c>
      <c r="J469" s="14">
        <f t="shared" si="33"/>
        <v>296</v>
      </c>
      <c r="K469">
        <v>1300</v>
      </c>
      <c r="N469" t="s">
        <v>54</v>
      </c>
      <c r="Q469">
        <v>4</v>
      </c>
      <c r="R469">
        <v>1</v>
      </c>
      <c r="W469" t="s">
        <v>882</v>
      </c>
      <c r="X469" t="s">
        <v>40</v>
      </c>
      <c r="Y469" t="s">
        <v>40</v>
      </c>
      <c r="Z469" t="s">
        <v>883</v>
      </c>
      <c r="AA469">
        <f t="shared" si="34"/>
        <v>29.6</v>
      </c>
      <c r="AB469">
        <v>93</v>
      </c>
      <c r="AC469">
        <f t="shared" si="32"/>
        <v>0.67929087152245293</v>
      </c>
      <c r="AI469" t="e">
        <f>IF(Y469="Yes",NA(),#REF!)</f>
        <v>#N/A</v>
      </c>
      <c r="AJ469" t="e">
        <f>IF(Y469="Yes",NA(),#REF!)</f>
        <v>#N/A</v>
      </c>
      <c r="AK469" t="e">
        <f>IF(Y469="Yes",NA(),#REF!)</f>
        <v>#N/A</v>
      </c>
    </row>
    <row r="470" spans="1:37" x14ac:dyDescent="0.35">
      <c r="A470" s="12">
        <v>470</v>
      </c>
      <c r="C470">
        <v>49</v>
      </c>
      <c r="E470" s="2">
        <v>7</v>
      </c>
      <c r="F470" s="2">
        <v>9.8000000000000007</v>
      </c>
      <c r="G470" t="s">
        <v>114</v>
      </c>
      <c r="H470" t="s">
        <v>35</v>
      </c>
      <c r="J470" s="14">
        <f t="shared" si="33"/>
        <v>106</v>
      </c>
      <c r="K470">
        <v>1300</v>
      </c>
      <c r="N470" t="s">
        <v>218</v>
      </c>
      <c r="Q470">
        <v>1</v>
      </c>
      <c r="U470">
        <v>3</v>
      </c>
      <c r="W470" t="s">
        <v>884</v>
      </c>
      <c r="X470" t="s">
        <v>40</v>
      </c>
      <c r="Y470" t="s">
        <v>40</v>
      </c>
      <c r="AA470">
        <f t="shared" si="34"/>
        <v>10.6</v>
      </c>
      <c r="AB470">
        <v>33.299999999999997</v>
      </c>
      <c r="AC470">
        <f t="shared" si="32"/>
        <v>8.7092016940979636E-2</v>
      </c>
      <c r="AI470" t="e">
        <f>IF(Y470="Yes",NA(),#REF!)</f>
        <v>#N/A</v>
      </c>
      <c r="AJ470" t="e">
        <f>IF(Y470="Yes",NA(),#REF!)</f>
        <v>#N/A</v>
      </c>
      <c r="AK470" t="e">
        <f>IF(Y470="Yes",NA(),#REF!)</f>
        <v>#N/A</v>
      </c>
    </row>
    <row r="471" spans="1:37" x14ac:dyDescent="0.35">
      <c r="A471" s="12">
        <v>471</v>
      </c>
      <c r="C471">
        <v>49</v>
      </c>
      <c r="E471" s="2">
        <v>7</v>
      </c>
      <c r="F471" s="2">
        <v>6.5</v>
      </c>
      <c r="G471" t="s">
        <v>63</v>
      </c>
      <c r="H471" t="s">
        <v>64</v>
      </c>
      <c r="J471" s="14">
        <f t="shared" si="33"/>
        <v>120.60000000000001</v>
      </c>
      <c r="K471">
        <v>1300</v>
      </c>
      <c r="N471" t="s">
        <v>54</v>
      </c>
      <c r="Q471">
        <v>4</v>
      </c>
      <c r="W471" t="s">
        <v>885</v>
      </c>
      <c r="AA471">
        <f t="shared" si="34"/>
        <v>12.06</v>
      </c>
      <c r="AB471">
        <v>37.9</v>
      </c>
      <c r="AC471">
        <f t="shared" si="32"/>
        <v>0.11281537758857285</v>
      </c>
      <c r="AI471" t="e">
        <f>IF(Y471="Yes",NA(),#REF!)</f>
        <v>#REF!</v>
      </c>
      <c r="AJ471" t="e">
        <f>IF(Y471="Yes",NA(),#REF!)</f>
        <v>#REF!</v>
      </c>
      <c r="AK471" t="e">
        <f>IF(Y471="Yes",NA(),#REF!)</f>
        <v>#REF!</v>
      </c>
    </row>
    <row r="472" spans="1:37" x14ac:dyDescent="0.35">
      <c r="A472" s="12">
        <v>472</v>
      </c>
      <c r="C472">
        <v>49</v>
      </c>
      <c r="E472" s="23">
        <v>3</v>
      </c>
      <c r="F472" s="23">
        <v>9.5</v>
      </c>
      <c r="G472" t="s">
        <v>886</v>
      </c>
      <c r="H472" t="s">
        <v>887</v>
      </c>
      <c r="J472" s="14">
        <f t="shared" si="33"/>
        <v>230.10000000000002</v>
      </c>
      <c r="K472">
        <v>1300</v>
      </c>
      <c r="N472" t="s">
        <v>54</v>
      </c>
      <c r="Q472">
        <v>5</v>
      </c>
      <c r="U472">
        <v>3</v>
      </c>
      <c r="W472" t="s">
        <v>888</v>
      </c>
      <c r="X472" t="s">
        <v>40</v>
      </c>
      <c r="Y472" t="s">
        <v>40</v>
      </c>
      <c r="AA472">
        <f t="shared" si="34"/>
        <v>23.01</v>
      </c>
      <c r="AB472" s="26">
        <v>72.3</v>
      </c>
      <c r="AC472">
        <f t="shared" si="32"/>
        <v>0.4105503965545847</v>
      </c>
      <c r="AI472" t="e">
        <f>IF(Y472="Yes",NA(),#REF!)</f>
        <v>#N/A</v>
      </c>
      <c r="AJ472" t="e">
        <f>IF(Y472="Yes",NA(),#REF!)</f>
        <v>#N/A</v>
      </c>
      <c r="AK472" t="e">
        <f>IF(Y472="Yes",NA(),#REF!)</f>
        <v>#N/A</v>
      </c>
    </row>
    <row r="473" spans="1:37" x14ac:dyDescent="0.35">
      <c r="A473" s="12">
        <v>473</v>
      </c>
      <c r="C473">
        <v>50</v>
      </c>
      <c r="E473" s="2">
        <v>0.3</v>
      </c>
      <c r="F473" s="2">
        <v>1</v>
      </c>
      <c r="G473" t="s">
        <v>66</v>
      </c>
      <c r="H473" t="s">
        <v>377</v>
      </c>
      <c r="J473" s="14">
        <f t="shared" si="33"/>
        <v>370.79999999999995</v>
      </c>
      <c r="K473">
        <v>1600</v>
      </c>
      <c r="N473" t="s">
        <v>889</v>
      </c>
      <c r="Q473" t="s">
        <v>38</v>
      </c>
      <c r="W473" t="s">
        <v>890</v>
      </c>
      <c r="X473" t="s">
        <v>40</v>
      </c>
      <c r="Y473" t="s">
        <v>40</v>
      </c>
      <c r="AA473">
        <f t="shared" si="34"/>
        <v>37.08</v>
      </c>
      <c r="AB473">
        <v>116.5</v>
      </c>
      <c r="AI473" t="e">
        <f>IF(Y473="Yes",NA(),#REF!)</f>
        <v>#N/A</v>
      </c>
      <c r="AJ473" t="e">
        <f>IF(Y473="Yes",NA(),#REF!)</f>
        <v>#N/A</v>
      </c>
      <c r="AK473" t="e">
        <f>IF(Y473="Yes",NA(),#REF!)</f>
        <v>#N/A</v>
      </c>
    </row>
    <row r="474" spans="1:37" x14ac:dyDescent="0.35">
      <c r="A474" s="12">
        <v>474</v>
      </c>
      <c r="C474">
        <v>50</v>
      </c>
      <c r="E474" s="2">
        <v>0.5</v>
      </c>
      <c r="F474" s="2">
        <v>4.5</v>
      </c>
      <c r="G474" t="s">
        <v>59</v>
      </c>
      <c r="H474" t="s">
        <v>461</v>
      </c>
      <c r="J474" s="14">
        <f t="shared" si="33"/>
        <v>180.2</v>
      </c>
      <c r="K474">
        <v>1300</v>
      </c>
      <c r="N474" t="s">
        <v>54</v>
      </c>
      <c r="Q474" t="s">
        <v>38</v>
      </c>
      <c r="W474" t="s">
        <v>891</v>
      </c>
      <c r="X474" t="s">
        <v>40</v>
      </c>
      <c r="Y474" t="s">
        <v>40</v>
      </c>
      <c r="AA474">
        <f t="shared" si="34"/>
        <v>18.02</v>
      </c>
      <c r="AB474">
        <v>56.6</v>
      </c>
      <c r="AC474">
        <f>PI()*(AB474/2)*(AB474/2)/10000</f>
        <v>0.25160701403335295</v>
      </c>
      <c r="AI474" t="e">
        <f>IF(Y474="Yes",NA(),#REF!)</f>
        <v>#N/A</v>
      </c>
      <c r="AJ474" t="e">
        <f>IF(Y474="Yes",NA(),#REF!)</f>
        <v>#N/A</v>
      </c>
      <c r="AK474" t="e">
        <f>IF(Y474="Yes",NA(),#REF!)</f>
        <v>#N/A</v>
      </c>
    </row>
    <row r="475" spans="1:37" x14ac:dyDescent="0.35">
      <c r="A475" s="12">
        <v>475</v>
      </c>
      <c r="C475">
        <v>50</v>
      </c>
      <c r="E475" s="2">
        <v>1</v>
      </c>
      <c r="F475" s="2">
        <v>4</v>
      </c>
      <c r="G475" t="s">
        <v>66</v>
      </c>
      <c r="H475" t="s">
        <v>67</v>
      </c>
      <c r="J475" s="14">
        <f t="shared" si="33"/>
        <v>227.3</v>
      </c>
      <c r="K475">
        <v>1300</v>
      </c>
      <c r="N475" t="s">
        <v>54</v>
      </c>
      <c r="Q475">
        <v>4</v>
      </c>
      <c r="W475" t="s">
        <v>892</v>
      </c>
      <c r="X475" t="s">
        <v>40</v>
      </c>
      <c r="Y475" t="s">
        <v>40</v>
      </c>
      <c r="AA475">
        <f t="shared" si="34"/>
        <v>22.73</v>
      </c>
      <c r="AB475" s="26">
        <v>71.400000000000006</v>
      </c>
      <c r="AC475">
        <f>PI()*(AB475/2)*(AB475/2)/10000</f>
        <v>0.40039284210736559</v>
      </c>
      <c r="AI475" t="e">
        <f>IF(Y475="Yes",NA(),#REF!)</f>
        <v>#N/A</v>
      </c>
      <c r="AJ475" t="e">
        <f>IF(Y475="Yes",NA(),#REF!)</f>
        <v>#N/A</v>
      </c>
      <c r="AK475" t="e">
        <f>IF(Y475="Yes",NA(),#REF!)</f>
        <v>#N/A</v>
      </c>
    </row>
    <row r="476" spans="1:37" x14ac:dyDescent="0.35">
      <c r="A476" s="12">
        <v>476</v>
      </c>
      <c r="C476">
        <v>50</v>
      </c>
      <c r="E476" s="2">
        <v>3</v>
      </c>
      <c r="F476" s="2">
        <v>4</v>
      </c>
      <c r="G476" t="s">
        <v>59</v>
      </c>
      <c r="H476" t="s">
        <v>863</v>
      </c>
      <c r="I476">
        <f>455</f>
        <v>455</v>
      </c>
      <c r="J476" s="14">
        <f t="shared" si="33"/>
        <v>112.69999999999999</v>
      </c>
      <c r="K476">
        <v>1300</v>
      </c>
      <c r="N476" t="s">
        <v>54</v>
      </c>
      <c r="Q476" t="s">
        <v>55</v>
      </c>
      <c r="W476" t="s">
        <v>893</v>
      </c>
      <c r="X476" t="s">
        <v>40</v>
      </c>
      <c r="Y476" t="s">
        <v>40</v>
      </c>
      <c r="AA476">
        <f t="shared" si="34"/>
        <v>11.27</v>
      </c>
      <c r="AB476">
        <v>35.4</v>
      </c>
      <c r="AC476">
        <f>PI()*(AB476/2)*(AB476/2)/10000</f>
        <v>9.8422956244314616E-2</v>
      </c>
      <c r="AI476" t="e">
        <f>IF(Y476="Yes",NA(),#REF!)</f>
        <v>#N/A</v>
      </c>
      <c r="AJ476" t="e">
        <f>IF(Y476="Yes",NA(),#REF!)</f>
        <v>#N/A</v>
      </c>
      <c r="AK476" t="e">
        <f>IF(Y476="Yes",NA(),#REF!)</f>
        <v>#N/A</v>
      </c>
    </row>
    <row r="477" spans="1:37" x14ac:dyDescent="0.35">
      <c r="A477" s="12">
        <v>477</v>
      </c>
      <c r="C477">
        <v>50</v>
      </c>
      <c r="E477" s="2">
        <v>9</v>
      </c>
      <c r="F477" s="2">
        <v>3</v>
      </c>
      <c r="G477" t="s">
        <v>114</v>
      </c>
      <c r="H477" t="s">
        <v>35</v>
      </c>
      <c r="J477" s="14">
        <f t="shared" si="33"/>
        <v>105</v>
      </c>
      <c r="K477">
        <v>1300</v>
      </c>
      <c r="N477" t="s">
        <v>61</v>
      </c>
      <c r="Q477">
        <v>1</v>
      </c>
      <c r="U477">
        <v>5</v>
      </c>
      <c r="W477" t="s">
        <v>894</v>
      </c>
      <c r="X477" t="s">
        <v>40</v>
      </c>
      <c r="Y477" t="s">
        <v>40</v>
      </c>
      <c r="AA477">
        <f t="shared" si="34"/>
        <v>10.5</v>
      </c>
      <c r="AB477">
        <v>33</v>
      </c>
      <c r="AC477">
        <f>PI()*(AB477/2)*(AB477/2)/10000</f>
        <v>8.5529859993982119E-2</v>
      </c>
      <c r="AI477" t="e">
        <f>IF(Y477="Yes",NA(),#REF!)</f>
        <v>#N/A</v>
      </c>
      <c r="AJ477" t="e">
        <f>IF(Y477="Yes",NA(),#REF!)</f>
        <v>#N/A</v>
      </c>
      <c r="AK477" t="e">
        <f>IF(Y477="Yes",NA(),#REF!)</f>
        <v>#N/A</v>
      </c>
    </row>
    <row r="478" spans="1:37" x14ac:dyDescent="0.35">
      <c r="A478" s="12">
        <v>478</v>
      </c>
      <c r="C478">
        <v>50</v>
      </c>
      <c r="E478" s="2">
        <v>9.5</v>
      </c>
      <c r="F478" s="2">
        <v>3.5</v>
      </c>
      <c r="G478" t="s">
        <v>34</v>
      </c>
      <c r="H478" t="s">
        <v>35</v>
      </c>
      <c r="J478" s="14">
        <f t="shared" si="33"/>
        <v>140.1</v>
      </c>
      <c r="K478">
        <v>1300</v>
      </c>
      <c r="N478" t="s">
        <v>54</v>
      </c>
      <c r="Q478">
        <v>4</v>
      </c>
      <c r="U478">
        <v>3</v>
      </c>
      <c r="W478" t="s">
        <v>895</v>
      </c>
      <c r="X478" t="s">
        <v>40</v>
      </c>
      <c r="Y478" t="s">
        <v>40</v>
      </c>
      <c r="AA478">
        <f t="shared" si="34"/>
        <v>14.01</v>
      </c>
      <c r="AB478">
        <v>44</v>
      </c>
      <c r="AC478">
        <f>PI()*(AB478/2)*(AB478/2)/10000</f>
        <v>0.15205308443374596</v>
      </c>
      <c r="AI478" t="e">
        <f>IF(Y478="Yes",NA(),#REF!)</f>
        <v>#N/A</v>
      </c>
      <c r="AJ478" t="e">
        <f>IF(Y478="Yes",NA(),#REF!)</f>
        <v>#N/A</v>
      </c>
      <c r="AK478" t="e">
        <f>IF(Y478="Yes",NA(),#REF!)</f>
        <v>#N/A</v>
      </c>
    </row>
    <row r="479" spans="1:37" x14ac:dyDescent="0.35">
      <c r="A479" s="12">
        <v>479</v>
      </c>
      <c r="C479">
        <v>50</v>
      </c>
      <c r="E479" s="2">
        <v>5</v>
      </c>
      <c r="F479" s="2">
        <v>6</v>
      </c>
      <c r="G479" t="s">
        <v>42</v>
      </c>
      <c r="H479" t="s">
        <v>35</v>
      </c>
      <c r="J479" s="14">
        <f t="shared" si="33"/>
        <v>175.10000000000002</v>
      </c>
      <c r="K479">
        <v>1600</v>
      </c>
      <c r="N479" t="s">
        <v>896</v>
      </c>
      <c r="Q479" t="s">
        <v>55</v>
      </c>
      <c r="W479" t="s">
        <v>897</v>
      </c>
      <c r="X479" t="s">
        <v>40</v>
      </c>
      <c r="Y479" t="s">
        <v>40</v>
      </c>
      <c r="Z479" t="s">
        <v>784</v>
      </c>
      <c r="AA479">
        <f t="shared" si="34"/>
        <v>17.510000000000002</v>
      </c>
      <c r="AB479">
        <v>55</v>
      </c>
      <c r="AI479" t="e">
        <f>IF(Y479="Yes",NA(),#REF!)</f>
        <v>#N/A</v>
      </c>
      <c r="AJ479" t="e">
        <f>IF(Y479="Yes",NA(),#REF!)</f>
        <v>#N/A</v>
      </c>
      <c r="AK479" t="e">
        <f>IF(Y479="Yes",NA(),#REF!)</f>
        <v>#N/A</v>
      </c>
    </row>
    <row r="480" spans="1:37" x14ac:dyDescent="0.35">
      <c r="A480" s="12">
        <v>480</v>
      </c>
      <c r="C480">
        <v>50</v>
      </c>
      <c r="E480" s="23">
        <v>5.5</v>
      </c>
      <c r="F480" s="23">
        <v>6.5</v>
      </c>
      <c r="G480" t="s">
        <v>231</v>
      </c>
      <c r="H480" t="s">
        <v>232</v>
      </c>
      <c r="J480" s="14">
        <f t="shared" si="33"/>
        <v>155.69999999999999</v>
      </c>
      <c r="K480">
        <v>1300</v>
      </c>
      <c r="N480" t="s">
        <v>54</v>
      </c>
      <c r="Q480" t="s">
        <v>38</v>
      </c>
      <c r="U480">
        <v>2</v>
      </c>
      <c r="W480" t="s">
        <v>898</v>
      </c>
      <c r="X480" t="s">
        <v>40</v>
      </c>
      <c r="Y480" t="s">
        <v>40</v>
      </c>
      <c r="AA480">
        <f t="shared" si="34"/>
        <v>15.57</v>
      </c>
      <c r="AB480" s="26">
        <v>48.9</v>
      </c>
      <c r="AC480">
        <f t="shared" ref="AC480:AC500" si="35">PI()*(AB480/2)*(AB480/2)/10000</f>
        <v>0.18780519422976122</v>
      </c>
      <c r="AD480" s="28"/>
      <c r="AE480" s="28"/>
      <c r="AF480" s="28"/>
      <c r="AG480" s="28"/>
      <c r="AH480" s="28"/>
      <c r="AI480" s="28" t="e">
        <f>IF(Y480="Yes",NA(),#REF!)</f>
        <v>#N/A</v>
      </c>
      <c r="AJ480" s="28" t="e">
        <f>IF(Y480="Yes",NA(),#REF!)</f>
        <v>#N/A</v>
      </c>
      <c r="AK480" s="28" t="e">
        <f>IF(Y480="Yes",NA(),#REF!)</f>
        <v>#N/A</v>
      </c>
    </row>
    <row r="481" spans="1:37" x14ac:dyDescent="0.35">
      <c r="A481" s="12">
        <v>481</v>
      </c>
      <c r="C481">
        <v>50</v>
      </c>
      <c r="E481" s="2">
        <v>5.5</v>
      </c>
      <c r="F481" s="2">
        <v>7</v>
      </c>
      <c r="G481" t="s">
        <v>47</v>
      </c>
      <c r="H481" t="s">
        <v>53</v>
      </c>
      <c r="J481" s="14">
        <f t="shared" si="33"/>
        <v>211.70000000000002</v>
      </c>
      <c r="K481">
        <v>1300</v>
      </c>
      <c r="N481" t="s">
        <v>54</v>
      </c>
      <c r="Q481">
        <v>4</v>
      </c>
      <c r="W481" t="s">
        <v>899</v>
      </c>
      <c r="X481" t="s">
        <v>40</v>
      </c>
      <c r="Y481" t="s">
        <v>40</v>
      </c>
      <c r="AA481">
        <f t="shared" si="34"/>
        <v>21.17</v>
      </c>
      <c r="AB481">
        <v>66.5</v>
      </c>
      <c r="AC481">
        <f t="shared" si="35"/>
        <v>0.34732270280843658</v>
      </c>
      <c r="AI481" t="e">
        <f>IF(Y481="Yes",NA(),#REF!)</f>
        <v>#N/A</v>
      </c>
      <c r="AJ481" t="e">
        <f>IF(Y481="Yes",NA(),#REF!)</f>
        <v>#N/A</v>
      </c>
      <c r="AK481" t="e">
        <f>IF(Y481="Yes",NA(),#REF!)</f>
        <v>#N/A</v>
      </c>
    </row>
    <row r="482" spans="1:37" x14ac:dyDescent="0.35">
      <c r="A482" s="12">
        <v>482</v>
      </c>
      <c r="C482">
        <v>50</v>
      </c>
      <c r="E482" s="2">
        <v>8</v>
      </c>
      <c r="F482" s="2">
        <v>9.9</v>
      </c>
      <c r="G482" t="s">
        <v>507</v>
      </c>
      <c r="H482" t="s">
        <v>900</v>
      </c>
      <c r="J482" s="14">
        <f t="shared" si="33"/>
        <v>215.2</v>
      </c>
      <c r="K482">
        <v>1300</v>
      </c>
      <c r="N482" t="s">
        <v>54</v>
      </c>
      <c r="Q482">
        <v>4</v>
      </c>
      <c r="W482" t="s">
        <v>901</v>
      </c>
      <c r="X482" t="s">
        <v>40</v>
      </c>
      <c r="Y482" t="s">
        <v>40</v>
      </c>
      <c r="AA482">
        <f t="shared" si="34"/>
        <v>21.52</v>
      </c>
      <c r="AB482">
        <v>67.599999999999994</v>
      </c>
      <c r="AC482">
        <f t="shared" si="35"/>
        <v>0.35890811111671228</v>
      </c>
      <c r="AI482" t="e">
        <f>IF(Y482="Yes",NA(),#REF!)</f>
        <v>#N/A</v>
      </c>
      <c r="AJ482" t="e">
        <f>IF(Y482="Yes",NA(),#REF!)</f>
        <v>#N/A</v>
      </c>
      <c r="AK482" t="e">
        <f>IF(Y482="Yes",NA(),#REF!)</f>
        <v>#N/A</v>
      </c>
    </row>
    <row r="483" spans="1:37" x14ac:dyDescent="0.35">
      <c r="A483" s="12">
        <v>483</v>
      </c>
      <c r="C483">
        <v>50</v>
      </c>
      <c r="E483" s="2">
        <v>4.5</v>
      </c>
      <c r="F483" s="2">
        <v>9</v>
      </c>
      <c r="G483" t="s">
        <v>114</v>
      </c>
      <c r="H483" t="s">
        <v>35</v>
      </c>
      <c r="J483" s="14">
        <f t="shared" si="33"/>
        <v>324.39999999999998</v>
      </c>
      <c r="K483">
        <v>1300</v>
      </c>
      <c r="N483" t="s">
        <v>54</v>
      </c>
      <c r="Q483">
        <v>5</v>
      </c>
      <c r="U483">
        <v>2</v>
      </c>
      <c r="W483" t="s">
        <v>902</v>
      </c>
      <c r="X483" t="s">
        <v>40</v>
      </c>
      <c r="Y483" t="s">
        <v>40</v>
      </c>
      <c r="AA483">
        <f t="shared" si="34"/>
        <v>32.44</v>
      </c>
      <c r="AB483">
        <v>101.9</v>
      </c>
      <c r="AC483">
        <f t="shared" si="35"/>
        <v>0.8155268223435379</v>
      </c>
      <c r="AI483" t="e">
        <f>IF(Y483="Yes",NA(),#REF!)</f>
        <v>#N/A</v>
      </c>
      <c r="AJ483" t="e">
        <f>IF(Y483="Yes",NA(),#REF!)</f>
        <v>#N/A</v>
      </c>
      <c r="AK483" t="e">
        <f>IF(Y483="Yes",NA(),#REF!)</f>
        <v>#N/A</v>
      </c>
    </row>
    <row r="484" spans="1:37" x14ac:dyDescent="0.35">
      <c r="A484" s="12">
        <v>484</v>
      </c>
      <c r="C484">
        <v>50</v>
      </c>
      <c r="E484" s="2">
        <v>1</v>
      </c>
      <c r="F484" s="2">
        <v>9.5</v>
      </c>
      <c r="G484" t="s">
        <v>47</v>
      </c>
      <c r="H484" t="s">
        <v>35</v>
      </c>
      <c r="J484" s="14">
        <f t="shared" si="33"/>
        <v>302.39999999999998</v>
      </c>
      <c r="K484">
        <v>1300</v>
      </c>
      <c r="N484" t="s">
        <v>37</v>
      </c>
      <c r="Q484">
        <v>5</v>
      </c>
      <c r="U484">
        <v>3</v>
      </c>
      <c r="W484" t="s">
        <v>903</v>
      </c>
      <c r="X484" t="s">
        <v>40</v>
      </c>
      <c r="Y484" t="s">
        <v>40</v>
      </c>
      <c r="AA484">
        <f t="shared" si="34"/>
        <v>30.24</v>
      </c>
      <c r="AB484">
        <v>95</v>
      </c>
      <c r="AC484">
        <f t="shared" si="35"/>
        <v>0.70882184246619706</v>
      </c>
      <c r="AI484" t="e">
        <f>IF(Y484="Yes",NA(),#REF!)</f>
        <v>#N/A</v>
      </c>
      <c r="AJ484" t="e">
        <f>IF(Y484="Yes",NA(),#REF!)</f>
        <v>#N/A</v>
      </c>
      <c r="AK484" t="e">
        <f>IF(Y484="Yes",NA(),#REF!)</f>
        <v>#N/A</v>
      </c>
    </row>
    <row r="485" spans="1:37" x14ac:dyDescent="0.35">
      <c r="A485" s="12">
        <v>485</v>
      </c>
      <c r="C485">
        <v>50</v>
      </c>
      <c r="E485" s="2">
        <v>1.5</v>
      </c>
      <c r="F485" s="2">
        <v>9.3000000000000007</v>
      </c>
      <c r="G485" t="s">
        <v>404</v>
      </c>
      <c r="H485" t="s">
        <v>409</v>
      </c>
      <c r="J485" s="14">
        <f t="shared" si="33"/>
        <v>114.60000000000001</v>
      </c>
      <c r="K485">
        <v>1300</v>
      </c>
      <c r="N485" t="s">
        <v>54</v>
      </c>
      <c r="Q485" t="s">
        <v>55</v>
      </c>
      <c r="U485">
        <v>3</v>
      </c>
      <c r="W485" t="s">
        <v>904</v>
      </c>
      <c r="X485" t="s">
        <v>40</v>
      </c>
      <c r="Y485" t="s">
        <v>40</v>
      </c>
      <c r="AA485">
        <f t="shared" si="34"/>
        <v>11.46</v>
      </c>
      <c r="AB485">
        <v>36</v>
      </c>
      <c r="AC485">
        <f t="shared" si="35"/>
        <v>0.10178760197630929</v>
      </c>
      <c r="AI485" t="e">
        <f>IF(Y485="Yes",NA(),#REF!)</f>
        <v>#N/A</v>
      </c>
      <c r="AJ485" t="e">
        <f>IF(Y485="Yes",NA(),#REF!)</f>
        <v>#N/A</v>
      </c>
      <c r="AK485" t="e">
        <f>IF(Y485="Yes",NA(),#REF!)</f>
        <v>#N/A</v>
      </c>
    </row>
    <row r="486" spans="1:37" x14ac:dyDescent="0.35">
      <c r="A486" s="12">
        <v>486</v>
      </c>
      <c r="C486">
        <v>50</v>
      </c>
      <c r="E486" s="2">
        <v>1.5</v>
      </c>
      <c r="F486" s="2">
        <v>8.3000000000000007</v>
      </c>
      <c r="G486" t="s">
        <v>34</v>
      </c>
      <c r="H486" t="s">
        <v>155</v>
      </c>
      <c r="J486" s="14">
        <f t="shared" si="33"/>
        <v>182.39999999999998</v>
      </c>
      <c r="K486">
        <v>1300</v>
      </c>
      <c r="N486" t="s">
        <v>37</v>
      </c>
      <c r="Q486" t="s">
        <v>38</v>
      </c>
      <c r="W486" t="s">
        <v>905</v>
      </c>
      <c r="X486" t="s">
        <v>40</v>
      </c>
      <c r="Y486" t="s">
        <v>40</v>
      </c>
      <c r="AA486">
        <f t="shared" si="34"/>
        <v>18.239999999999998</v>
      </c>
      <c r="AB486">
        <v>57.3</v>
      </c>
      <c r="AC486">
        <f t="shared" si="35"/>
        <v>0.25786899359012078</v>
      </c>
      <c r="AI486" t="e">
        <f>IF(Y486="Yes",NA(),#REF!)</f>
        <v>#N/A</v>
      </c>
      <c r="AJ486" t="e">
        <f>IF(Y486="Yes",NA(),#REF!)</f>
        <v>#N/A</v>
      </c>
      <c r="AK486" t="e">
        <f>IF(Y486="Yes",NA(),#REF!)</f>
        <v>#N/A</v>
      </c>
    </row>
    <row r="487" spans="1:37" x14ac:dyDescent="0.35">
      <c r="A487" s="12">
        <v>487</v>
      </c>
      <c r="C487">
        <v>50</v>
      </c>
      <c r="E487" s="2">
        <v>1.5</v>
      </c>
      <c r="F487" s="2">
        <v>6.8</v>
      </c>
      <c r="G487" t="s">
        <v>66</v>
      </c>
      <c r="H487" t="s">
        <v>377</v>
      </c>
      <c r="J487" s="14">
        <f t="shared" si="33"/>
        <v>117.8</v>
      </c>
      <c r="K487">
        <v>1300</v>
      </c>
      <c r="N487" t="s">
        <v>54</v>
      </c>
      <c r="Q487" t="s">
        <v>55</v>
      </c>
      <c r="U487">
        <v>3</v>
      </c>
      <c r="W487" t="s">
        <v>906</v>
      </c>
      <c r="X487" t="s">
        <v>40</v>
      </c>
      <c r="Y487" t="s">
        <v>40</v>
      </c>
      <c r="AA487">
        <f t="shared" si="34"/>
        <v>11.78</v>
      </c>
      <c r="AB487">
        <v>37</v>
      </c>
      <c r="AC487">
        <f t="shared" si="35"/>
        <v>0.10752100856911068</v>
      </c>
      <c r="AI487" t="e">
        <f>IF(Y487="Yes",NA(),#REF!)</f>
        <v>#N/A</v>
      </c>
      <c r="AJ487" t="e">
        <f>IF(Y487="Yes",NA(),#REF!)</f>
        <v>#N/A</v>
      </c>
      <c r="AK487" t="e">
        <f>IF(Y487="Yes",NA(),#REF!)</f>
        <v>#N/A</v>
      </c>
    </row>
    <row r="488" spans="1:37" x14ac:dyDescent="0.35">
      <c r="A488" s="12">
        <v>488</v>
      </c>
      <c r="C488">
        <v>50</v>
      </c>
      <c r="E488" s="2">
        <v>0.2</v>
      </c>
      <c r="F488" s="2">
        <v>6</v>
      </c>
      <c r="G488" t="s">
        <v>66</v>
      </c>
      <c r="H488" t="s">
        <v>472</v>
      </c>
      <c r="J488" s="14">
        <f t="shared" si="33"/>
        <v>103.80000000000001</v>
      </c>
      <c r="K488">
        <v>1300</v>
      </c>
      <c r="N488" t="s">
        <v>54</v>
      </c>
      <c r="Q488">
        <v>1</v>
      </c>
      <c r="U488">
        <v>3</v>
      </c>
      <c r="W488" t="s">
        <v>907</v>
      </c>
      <c r="X488" t="s">
        <v>40</v>
      </c>
      <c r="Y488" t="s">
        <v>40</v>
      </c>
      <c r="Z488" t="s">
        <v>908</v>
      </c>
      <c r="AA488">
        <f t="shared" si="34"/>
        <v>10.38</v>
      </c>
      <c r="AB488">
        <v>32.6</v>
      </c>
      <c r="AC488">
        <f t="shared" si="35"/>
        <v>8.3468975213227228E-2</v>
      </c>
      <c r="AI488" t="e">
        <f>IF(Y488="Yes",NA(),#REF!)</f>
        <v>#N/A</v>
      </c>
      <c r="AJ488" t="e">
        <f>IF(Y488="Yes",NA(),#REF!)</f>
        <v>#N/A</v>
      </c>
      <c r="AK488" t="e">
        <f>IF(Y488="Yes",NA(),#REF!)</f>
        <v>#N/A</v>
      </c>
    </row>
    <row r="489" spans="1:37" x14ac:dyDescent="0.35">
      <c r="A489" s="12">
        <v>489</v>
      </c>
      <c r="C489">
        <v>50</v>
      </c>
      <c r="E489" s="2">
        <v>1</v>
      </c>
      <c r="F489" s="2">
        <v>5.5</v>
      </c>
      <c r="G489" t="s">
        <v>114</v>
      </c>
      <c r="H489" t="s">
        <v>35</v>
      </c>
      <c r="J489" s="14">
        <f t="shared" si="33"/>
        <v>141.6</v>
      </c>
      <c r="K489">
        <v>1300</v>
      </c>
      <c r="N489" t="s">
        <v>61</v>
      </c>
      <c r="Q489" t="s">
        <v>55</v>
      </c>
      <c r="W489" t="s">
        <v>909</v>
      </c>
      <c r="X489" t="s">
        <v>40</v>
      </c>
      <c r="Y489" t="s">
        <v>40</v>
      </c>
      <c r="AA489">
        <f t="shared" si="34"/>
        <v>14.16</v>
      </c>
      <c r="AB489">
        <v>44.5</v>
      </c>
      <c r="AC489">
        <f t="shared" si="35"/>
        <v>0.15552847130677971</v>
      </c>
      <c r="AI489" t="e">
        <f>IF(Y489="Yes",NA(),#REF!)</f>
        <v>#N/A</v>
      </c>
      <c r="AJ489" t="e">
        <f>IF(Y489="Yes",NA(),#REF!)</f>
        <v>#N/A</v>
      </c>
      <c r="AK489" t="e">
        <f>IF(Y489="Yes",NA(),#REF!)</f>
        <v>#N/A</v>
      </c>
    </row>
    <row r="490" spans="1:37" x14ac:dyDescent="0.35">
      <c r="A490" s="12">
        <v>490</v>
      </c>
      <c r="C490">
        <v>60</v>
      </c>
      <c r="E490" s="2">
        <v>2</v>
      </c>
      <c r="F490" s="2">
        <v>2</v>
      </c>
      <c r="G490" t="s">
        <v>59</v>
      </c>
      <c r="H490" t="s">
        <v>234</v>
      </c>
      <c r="J490" s="14">
        <f t="shared" si="33"/>
        <v>109.80000000000001</v>
      </c>
      <c r="K490">
        <v>1300</v>
      </c>
      <c r="N490" t="s">
        <v>54</v>
      </c>
      <c r="Q490" t="s">
        <v>134</v>
      </c>
      <c r="U490">
        <v>3</v>
      </c>
      <c r="W490" t="s">
        <v>910</v>
      </c>
      <c r="X490" t="s">
        <v>40</v>
      </c>
      <c r="Y490" t="s">
        <v>40</v>
      </c>
      <c r="AA490">
        <f t="shared" si="34"/>
        <v>10.98</v>
      </c>
      <c r="AB490">
        <v>34.5</v>
      </c>
      <c r="AC490">
        <f t="shared" si="35"/>
        <v>9.3482016398381274E-2</v>
      </c>
      <c r="AI490" t="e">
        <f>IF(Y490="Yes",NA(),#REF!)</f>
        <v>#N/A</v>
      </c>
      <c r="AJ490" t="e">
        <f>IF(Y490="Yes",NA(),#REF!)</f>
        <v>#N/A</v>
      </c>
      <c r="AK490" t="e">
        <f>IF(Y490="Yes",NA(),#REF!)</f>
        <v>#N/A</v>
      </c>
    </row>
    <row r="491" spans="1:37" x14ac:dyDescent="0.35">
      <c r="A491" s="12">
        <v>491</v>
      </c>
      <c r="C491">
        <v>60</v>
      </c>
      <c r="E491" s="2">
        <v>3</v>
      </c>
      <c r="F491" s="2">
        <v>1</v>
      </c>
      <c r="G491" t="s">
        <v>114</v>
      </c>
      <c r="H491" t="s">
        <v>35</v>
      </c>
      <c r="J491" s="14">
        <f t="shared" si="33"/>
        <v>225</v>
      </c>
      <c r="K491">
        <v>1300</v>
      </c>
      <c r="N491" t="s">
        <v>54</v>
      </c>
      <c r="Q491" t="s">
        <v>38</v>
      </c>
      <c r="W491" t="s">
        <v>911</v>
      </c>
      <c r="AA491">
        <f t="shared" si="34"/>
        <v>22.5</v>
      </c>
      <c r="AB491">
        <v>70.7</v>
      </c>
      <c r="AC491">
        <f t="shared" si="35"/>
        <v>0.39258048657605116</v>
      </c>
      <c r="AI491" t="e">
        <f>IF(Y491="Yes",NA(),#REF!)</f>
        <v>#REF!</v>
      </c>
      <c r="AJ491" t="e">
        <f>IF(Y491="Yes",NA(),#REF!)</f>
        <v>#REF!</v>
      </c>
      <c r="AK491" t="e">
        <f>IF(Y491="Yes",NA(),#REF!)</f>
        <v>#REF!</v>
      </c>
    </row>
    <row r="492" spans="1:37" x14ac:dyDescent="0.35">
      <c r="A492" s="12">
        <v>492</v>
      </c>
      <c r="C492">
        <v>60</v>
      </c>
      <c r="E492" s="2">
        <v>3</v>
      </c>
      <c r="F492" s="2">
        <v>2.5</v>
      </c>
      <c r="G492" t="s">
        <v>381</v>
      </c>
      <c r="H492" t="s">
        <v>35</v>
      </c>
      <c r="J492" s="14">
        <f t="shared" si="33"/>
        <v>231.4</v>
      </c>
      <c r="K492">
        <v>1300</v>
      </c>
      <c r="N492" t="s">
        <v>54</v>
      </c>
      <c r="Q492" t="s">
        <v>38</v>
      </c>
      <c r="U492">
        <v>3</v>
      </c>
      <c r="W492" t="s">
        <v>912</v>
      </c>
      <c r="X492" t="s">
        <v>40</v>
      </c>
      <c r="Y492" t="s">
        <v>40</v>
      </c>
      <c r="AA492">
        <f t="shared" si="34"/>
        <v>23.14</v>
      </c>
      <c r="AB492">
        <v>72.7</v>
      </c>
      <c r="AC492">
        <f t="shared" si="35"/>
        <v>0.41510570590229001</v>
      </c>
      <c r="AI492" t="e">
        <f>IF(Y492="Yes",NA(),#REF!)</f>
        <v>#N/A</v>
      </c>
      <c r="AJ492" t="e">
        <f>IF(Y492="Yes",NA(),#REF!)</f>
        <v>#N/A</v>
      </c>
      <c r="AK492" t="e">
        <f>IF(Y492="Yes",NA(),#REF!)</f>
        <v>#N/A</v>
      </c>
    </row>
    <row r="493" spans="1:37" x14ac:dyDescent="0.35">
      <c r="A493" s="12">
        <v>493</v>
      </c>
      <c r="C493">
        <v>60</v>
      </c>
      <c r="E493" s="2">
        <v>4</v>
      </c>
      <c r="F493" s="2">
        <v>4</v>
      </c>
      <c r="G493" t="s">
        <v>63</v>
      </c>
      <c r="H493" t="s">
        <v>64</v>
      </c>
      <c r="J493" s="14">
        <f t="shared" si="33"/>
        <v>139.4</v>
      </c>
      <c r="K493">
        <v>1300</v>
      </c>
      <c r="N493" t="s">
        <v>54</v>
      </c>
      <c r="Q493" t="s">
        <v>134</v>
      </c>
      <c r="W493" t="s">
        <v>913</v>
      </c>
      <c r="AA493">
        <f t="shared" si="34"/>
        <v>13.94</v>
      </c>
      <c r="AB493">
        <v>43.8</v>
      </c>
      <c r="AC493">
        <f t="shared" si="35"/>
        <v>0.15067392525882004</v>
      </c>
      <c r="AI493" t="e">
        <f>IF(Y493="Yes",NA(),#REF!)</f>
        <v>#REF!</v>
      </c>
      <c r="AJ493" t="e">
        <f>IF(Y493="Yes",NA(),#REF!)</f>
        <v>#REF!</v>
      </c>
      <c r="AK493" t="e">
        <f>IF(Y493="Yes",NA(),#REF!)</f>
        <v>#REF!</v>
      </c>
    </row>
    <row r="494" spans="1:37" x14ac:dyDescent="0.35">
      <c r="A494" s="12">
        <v>494</v>
      </c>
      <c r="C494">
        <v>60</v>
      </c>
      <c r="E494" s="2">
        <v>9.9</v>
      </c>
      <c r="F494" s="2">
        <v>4</v>
      </c>
      <c r="G494" t="s">
        <v>70</v>
      </c>
      <c r="H494" t="s">
        <v>71</v>
      </c>
      <c r="J494" s="14">
        <f t="shared" si="33"/>
        <v>248.9</v>
      </c>
      <c r="K494">
        <v>1300</v>
      </c>
      <c r="N494" t="s">
        <v>54</v>
      </c>
      <c r="Q494" t="s">
        <v>38</v>
      </c>
      <c r="U494">
        <v>4</v>
      </c>
      <c r="W494" t="s">
        <v>914</v>
      </c>
      <c r="X494" t="s">
        <v>40</v>
      </c>
      <c r="Y494" t="s">
        <v>40</v>
      </c>
      <c r="Z494" t="s">
        <v>915</v>
      </c>
      <c r="AA494">
        <f t="shared" si="34"/>
        <v>24.89</v>
      </c>
      <c r="AB494">
        <v>78.2</v>
      </c>
      <c r="AC494">
        <f t="shared" si="35"/>
        <v>0.48028982647346119</v>
      </c>
      <c r="AI494" t="e">
        <f>IF(Y494="Yes",NA(),#REF!)</f>
        <v>#N/A</v>
      </c>
      <c r="AJ494" t="e">
        <f>IF(Y494="Yes",NA(),#REF!)</f>
        <v>#N/A</v>
      </c>
      <c r="AK494" t="e">
        <f>IF(Y494="Yes",NA(),#REF!)</f>
        <v>#N/A</v>
      </c>
    </row>
    <row r="495" spans="1:37" x14ac:dyDescent="0.35">
      <c r="A495" s="12">
        <v>495</v>
      </c>
      <c r="C495">
        <v>60</v>
      </c>
      <c r="E495" s="2">
        <v>7.5</v>
      </c>
      <c r="F495" s="2">
        <v>4</v>
      </c>
      <c r="G495" t="s">
        <v>63</v>
      </c>
      <c r="H495" t="s">
        <v>64</v>
      </c>
      <c r="J495" s="14">
        <f t="shared" si="33"/>
        <v>115.9</v>
      </c>
      <c r="K495">
        <v>1300</v>
      </c>
      <c r="N495" t="s">
        <v>54</v>
      </c>
      <c r="Q495" t="s">
        <v>55</v>
      </c>
      <c r="W495" t="s">
        <v>916</v>
      </c>
      <c r="AA495">
        <f t="shared" si="34"/>
        <v>11.59</v>
      </c>
      <c r="AB495">
        <v>36.4</v>
      </c>
      <c r="AC495">
        <f t="shared" si="35"/>
        <v>0.1040621150575083</v>
      </c>
      <c r="AI495" t="e">
        <f>IF(Y495="Yes",NA(),#REF!)</f>
        <v>#REF!</v>
      </c>
      <c r="AJ495" t="e">
        <f>IF(Y495="Yes",NA(),#REF!)</f>
        <v>#REF!</v>
      </c>
      <c r="AK495" t="e">
        <f>IF(Y495="Yes",NA(),#REF!)</f>
        <v>#REF!</v>
      </c>
    </row>
    <row r="496" spans="1:37" x14ac:dyDescent="0.35">
      <c r="A496" s="12">
        <v>496</v>
      </c>
      <c r="C496">
        <v>60</v>
      </c>
      <c r="E496" s="2">
        <v>4</v>
      </c>
      <c r="F496" s="2">
        <v>7</v>
      </c>
      <c r="G496" t="s">
        <v>63</v>
      </c>
      <c r="H496" t="s">
        <v>64</v>
      </c>
      <c r="J496" s="14">
        <f t="shared" si="33"/>
        <v>113</v>
      </c>
      <c r="K496">
        <v>1300</v>
      </c>
      <c r="N496" t="s">
        <v>54</v>
      </c>
      <c r="Q496" t="s">
        <v>55</v>
      </c>
      <c r="W496" t="s">
        <v>917</v>
      </c>
      <c r="AA496">
        <f t="shared" si="34"/>
        <v>11.3</v>
      </c>
      <c r="AB496">
        <v>35.5</v>
      </c>
      <c r="AC496">
        <f t="shared" si="35"/>
        <v>9.897980354216343E-2</v>
      </c>
      <c r="AI496" t="e">
        <f>IF(Y496="Yes",NA(),#REF!)</f>
        <v>#REF!</v>
      </c>
      <c r="AJ496" t="e">
        <f>IF(Y496="Yes",NA(),#REF!)</f>
        <v>#REF!</v>
      </c>
      <c r="AK496" t="e">
        <f>IF(Y496="Yes",NA(),#REF!)</f>
        <v>#REF!</v>
      </c>
    </row>
    <row r="497" spans="1:37" x14ac:dyDescent="0.35">
      <c r="A497" s="12">
        <v>497</v>
      </c>
      <c r="C497">
        <v>60</v>
      </c>
      <c r="E497" s="2">
        <v>2</v>
      </c>
      <c r="F497" s="2">
        <v>9</v>
      </c>
      <c r="G497" t="s">
        <v>404</v>
      </c>
      <c r="H497" t="s">
        <v>409</v>
      </c>
      <c r="J497" s="14">
        <f t="shared" si="33"/>
        <v>255</v>
      </c>
      <c r="K497">
        <v>1300</v>
      </c>
      <c r="N497" t="s">
        <v>297</v>
      </c>
      <c r="Q497">
        <v>4</v>
      </c>
      <c r="U497">
        <v>3</v>
      </c>
      <c r="W497" t="s">
        <v>918</v>
      </c>
      <c r="X497" t="s">
        <v>40</v>
      </c>
      <c r="Y497" t="s">
        <v>40</v>
      </c>
      <c r="AA497">
        <f t="shared" si="34"/>
        <v>25.5</v>
      </c>
      <c r="AB497">
        <v>80.099999999999994</v>
      </c>
      <c r="AC497">
        <f t="shared" si="35"/>
        <v>0.5039122470339662</v>
      </c>
      <c r="AI497" t="e">
        <f>IF(Y497="Yes",NA(),#REF!)</f>
        <v>#N/A</v>
      </c>
      <c r="AJ497" t="e">
        <f>IF(Y497="Yes",NA(),#REF!)</f>
        <v>#N/A</v>
      </c>
      <c r="AK497" t="e">
        <f>IF(Y497="Yes",NA(),#REF!)</f>
        <v>#N/A</v>
      </c>
    </row>
    <row r="498" spans="1:37" x14ac:dyDescent="0.35">
      <c r="A498" s="12">
        <v>498</v>
      </c>
      <c r="C498">
        <v>60</v>
      </c>
      <c r="E498" s="2">
        <v>1</v>
      </c>
      <c r="F498" s="2">
        <v>9</v>
      </c>
      <c r="G498" t="s">
        <v>63</v>
      </c>
      <c r="H498" t="s">
        <v>64</v>
      </c>
      <c r="J498" s="14">
        <f t="shared" si="33"/>
        <v>101.19999999999999</v>
      </c>
      <c r="K498">
        <v>1300</v>
      </c>
      <c r="N498" t="s">
        <v>54</v>
      </c>
      <c r="Q498">
        <v>1</v>
      </c>
      <c r="W498" t="s">
        <v>919</v>
      </c>
      <c r="AA498">
        <f t="shared" si="34"/>
        <v>10.119999999999999</v>
      </c>
      <c r="AB498">
        <v>31.8</v>
      </c>
      <c r="AC498">
        <f t="shared" si="35"/>
        <v>7.9422603875403563E-2</v>
      </c>
      <c r="AI498" t="e">
        <f>IF(Y498="Yes",NA(),#REF!)</f>
        <v>#REF!</v>
      </c>
      <c r="AJ498" t="e">
        <f>IF(Y498="Yes",NA(),#REF!)</f>
        <v>#REF!</v>
      </c>
      <c r="AK498" t="e">
        <f>IF(Y498="Yes",NA(),#REF!)</f>
        <v>#REF!</v>
      </c>
    </row>
    <row r="499" spans="1:37" x14ac:dyDescent="0.35">
      <c r="A499" s="12">
        <v>499</v>
      </c>
      <c r="C499">
        <v>59</v>
      </c>
      <c r="E499" s="2">
        <v>1.5</v>
      </c>
      <c r="F499" s="2">
        <v>3</v>
      </c>
      <c r="G499" t="s">
        <v>114</v>
      </c>
      <c r="H499" t="s">
        <v>35</v>
      </c>
      <c r="J499" s="14">
        <f t="shared" si="33"/>
        <v>135.6</v>
      </c>
      <c r="K499">
        <v>1300</v>
      </c>
      <c r="N499" t="s">
        <v>54</v>
      </c>
      <c r="Q499">
        <v>4</v>
      </c>
      <c r="U499">
        <v>3</v>
      </c>
      <c r="W499" t="s">
        <v>920</v>
      </c>
      <c r="X499" t="s">
        <v>40</v>
      </c>
      <c r="Y499" t="s">
        <v>40</v>
      </c>
      <c r="AA499">
        <f t="shared" si="34"/>
        <v>13.56</v>
      </c>
      <c r="AB499">
        <v>42.6</v>
      </c>
      <c r="AC499">
        <f t="shared" si="35"/>
        <v>0.14253091710071536</v>
      </c>
      <c r="AI499" t="e">
        <f>IF(Y499="Yes",NA(),#REF!)</f>
        <v>#N/A</v>
      </c>
      <c r="AJ499" t="e">
        <f>IF(Y499="Yes",NA(),#REF!)</f>
        <v>#N/A</v>
      </c>
      <c r="AK499" t="e">
        <f>IF(Y499="Yes",NA(),#REF!)</f>
        <v>#N/A</v>
      </c>
    </row>
    <row r="500" spans="1:37" x14ac:dyDescent="0.35">
      <c r="A500" s="12">
        <v>500</v>
      </c>
      <c r="C500">
        <v>59</v>
      </c>
      <c r="E500" s="2">
        <v>3.5</v>
      </c>
      <c r="F500" s="2">
        <v>0.6</v>
      </c>
      <c r="G500" t="s">
        <v>63</v>
      </c>
      <c r="H500" t="s">
        <v>64</v>
      </c>
      <c r="J500" s="14">
        <f t="shared" si="33"/>
        <v>119.39999999999999</v>
      </c>
      <c r="K500">
        <v>1300</v>
      </c>
      <c r="N500" t="s">
        <v>54</v>
      </c>
      <c r="Q500" t="s">
        <v>38</v>
      </c>
      <c r="W500" t="s">
        <v>921</v>
      </c>
      <c r="AA500">
        <f t="shared" si="34"/>
        <v>11.94</v>
      </c>
      <c r="AB500">
        <v>37.5</v>
      </c>
      <c r="AC500">
        <f t="shared" si="35"/>
        <v>0.11044661672776618</v>
      </c>
      <c r="AI500" t="e">
        <f>IF(Y500="Yes",NA(),#REF!)</f>
        <v>#REF!</v>
      </c>
      <c r="AJ500" t="e">
        <f>IF(Y500="Yes",NA(),#REF!)</f>
        <v>#REF!</v>
      </c>
      <c r="AK500" t="e">
        <f>IF(Y500="Yes",NA(),#REF!)</f>
        <v>#REF!</v>
      </c>
    </row>
    <row r="501" spans="1:37" x14ac:dyDescent="0.35">
      <c r="A501" s="12">
        <v>501</v>
      </c>
      <c r="C501">
        <v>59</v>
      </c>
      <c r="E501" s="2">
        <v>8.5</v>
      </c>
      <c r="F501" s="2">
        <v>6.5</v>
      </c>
      <c r="G501" t="s">
        <v>145</v>
      </c>
      <c r="H501" t="s">
        <v>310</v>
      </c>
      <c r="J501" s="14">
        <f t="shared" si="33"/>
        <v>192.3</v>
      </c>
      <c r="K501">
        <v>1380</v>
      </c>
      <c r="N501" t="s">
        <v>54</v>
      </c>
      <c r="Q501" t="s">
        <v>152</v>
      </c>
      <c r="U501">
        <v>2</v>
      </c>
      <c r="W501" t="s">
        <v>922</v>
      </c>
      <c r="X501" t="s">
        <v>40</v>
      </c>
      <c r="Y501" t="s">
        <v>40</v>
      </c>
      <c r="Z501" t="s">
        <v>923</v>
      </c>
      <c r="AA501">
        <f t="shared" si="34"/>
        <v>19.23</v>
      </c>
      <c r="AB501">
        <v>60.4</v>
      </c>
      <c r="AI501" t="e">
        <f>IF(Y501="Yes",NA(),#REF!)</f>
        <v>#N/A</v>
      </c>
      <c r="AJ501" t="e">
        <f>IF(Y501="Yes",NA(),#REF!)</f>
        <v>#N/A</v>
      </c>
      <c r="AK501" t="e">
        <f>IF(Y501="Yes",NA(),#REF!)</f>
        <v>#N/A</v>
      </c>
    </row>
    <row r="502" spans="1:37" x14ac:dyDescent="0.35">
      <c r="A502" s="12">
        <v>502</v>
      </c>
      <c r="C502">
        <v>59</v>
      </c>
      <c r="E502" s="2">
        <v>5.5</v>
      </c>
      <c r="F502" s="2">
        <v>5</v>
      </c>
      <c r="G502" t="s">
        <v>114</v>
      </c>
      <c r="H502" t="s">
        <v>35</v>
      </c>
      <c r="J502" s="14">
        <f t="shared" si="33"/>
        <v>234.3</v>
      </c>
      <c r="K502">
        <v>1300</v>
      </c>
      <c r="N502" t="s">
        <v>54</v>
      </c>
      <c r="Q502">
        <v>5</v>
      </c>
      <c r="U502">
        <v>5</v>
      </c>
      <c r="W502" t="s">
        <v>924</v>
      </c>
      <c r="Y502" t="s">
        <v>40</v>
      </c>
      <c r="AA502">
        <f t="shared" si="34"/>
        <v>23.43</v>
      </c>
      <c r="AB502">
        <v>73.599999999999994</v>
      </c>
      <c r="AC502">
        <f t="shared" ref="AC502:AC565" si="36">PI()*(AB502/2)*(AB502/2)/10000</f>
        <v>0.42544704351974405</v>
      </c>
      <c r="AI502" t="e">
        <f>IF(Y502="Yes",NA(),#REF!)</f>
        <v>#N/A</v>
      </c>
      <c r="AJ502" t="e">
        <f>IF(Y502="Yes",NA(),#REF!)</f>
        <v>#N/A</v>
      </c>
      <c r="AK502" t="e">
        <f>IF(Y502="Yes",NA(),#REF!)</f>
        <v>#N/A</v>
      </c>
    </row>
    <row r="503" spans="1:37" x14ac:dyDescent="0.35">
      <c r="A503" s="12">
        <v>503</v>
      </c>
      <c r="C503">
        <v>59</v>
      </c>
      <c r="E503" s="2">
        <v>5</v>
      </c>
      <c r="F503" s="2">
        <v>9.9</v>
      </c>
      <c r="G503" t="s">
        <v>70</v>
      </c>
      <c r="H503" t="s">
        <v>71</v>
      </c>
      <c r="J503" s="14">
        <f t="shared" si="33"/>
        <v>255.6</v>
      </c>
      <c r="K503">
        <v>1300</v>
      </c>
      <c r="N503" t="s">
        <v>54</v>
      </c>
      <c r="Q503">
        <v>4</v>
      </c>
      <c r="U503">
        <v>5</v>
      </c>
      <c r="W503" t="s">
        <v>925</v>
      </c>
      <c r="Y503" t="s">
        <v>40</v>
      </c>
      <c r="AA503">
        <f t="shared" si="34"/>
        <v>25.56</v>
      </c>
      <c r="AB503">
        <v>80.3</v>
      </c>
      <c r="AC503">
        <f t="shared" si="36"/>
        <v>0.50643180434214519</v>
      </c>
      <c r="AI503" t="e">
        <f>IF(Y503="Yes",NA(),#REF!)</f>
        <v>#N/A</v>
      </c>
      <c r="AJ503" t="e">
        <f>IF(Y503="Yes",NA(),#REF!)</f>
        <v>#N/A</v>
      </c>
      <c r="AK503" t="e">
        <f>IF(Y503="Yes",NA(),#REF!)</f>
        <v>#N/A</v>
      </c>
    </row>
    <row r="504" spans="1:37" x14ac:dyDescent="0.35">
      <c r="A504" s="12">
        <v>504</v>
      </c>
      <c r="C504">
        <v>59</v>
      </c>
      <c r="E504" s="2">
        <v>2</v>
      </c>
      <c r="F504" s="2">
        <v>5</v>
      </c>
      <c r="G504" t="s">
        <v>34</v>
      </c>
      <c r="H504" t="s">
        <v>587</v>
      </c>
      <c r="J504" s="14">
        <f t="shared" ref="J504:J567" si="37">ROUND(AB504/PI(), 2)*10</f>
        <v>168.70000000000002</v>
      </c>
      <c r="K504">
        <v>1300</v>
      </c>
      <c r="N504" t="s">
        <v>54</v>
      </c>
      <c r="Q504" t="s">
        <v>152</v>
      </c>
      <c r="U504">
        <v>2</v>
      </c>
      <c r="W504" t="s">
        <v>926</v>
      </c>
      <c r="X504" t="s">
        <v>40</v>
      </c>
      <c r="Y504" t="s">
        <v>40</v>
      </c>
      <c r="AA504">
        <f t="shared" si="34"/>
        <v>16.87</v>
      </c>
      <c r="AB504">
        <v>53</v>
      </c>
      <c r="AC504">
        <f t="shared" si="36"/>
        <v>0.22061834409834324</v>
      </c>
      <c r="AI504" t="e">
        <f>IF(Y504="Yes",NA(),#REF!)</f>
        <v>#N/A</v>
      </c>
      <c r="AJ504" t="e">
        <f>IF(Y504="Yes",NA(),#REF!)</f>
        <v>#N/A</v>
      </c>
      <c r="AK504" t="e">
        <f>IF(Y504="Yes",NA(),#REF!)</f>
        <v>#N/A</v>
      </c>
    </row>
    <row r="505" spans="1:37" x14ac:dyDescent="0.35">
      <c r="A505" s="12">
        <v>505</v>
      </c>
      <c r="C505">
        <v>58</v>
      </c>
      <c r="E505" s="2">
        <v>0.1</v>
      </c>
      <c r="F505" s="2">
        <v>3</v>
      </c>
      <c r="G505" t="s">
        <v>59</v>
      </c>
      <c r="H505" t="s">
        <v>1519</v>
      </c>
      <c r="J505" s="14">
        <f t="shared" si="37"/>
        <v>175.7</v>
      </c>
      <c r="K505">
        <v>1300</v>
      </c>
      <c r="N505" t="s">
        <v>54</v>
      </c>
      <c r="Q505" t="s">
        <v>152</v>
      </c>
      <c r="W505" t="s">
        <v>927</v>
      </c>
      <c r="X505" t="s">
        <v>40</v>
      </c>
      <c r="Y505" t="s">
        <v>40</v>
      </c>
      <c r="Z505" t="s">
        <v>928</v>
      </c>
      <c r="AA505">
        <f t="shared" si="34"/>
        <v>17.57</v>
      </c>
      <c r="AB505">
        <v>55.2</v>
      </c>
      <c r="AC505">
        <f t="shared" si="36"/>
        <v>0.2393139619798561</v>
      </c>
      <c r="AI505" t="e">
        <f>IF(Y505="Yes",NA(),#REF!)</f>
        <v>#N/A</v>
      </c>
      <c r="AJ505" t="e">
        <f>IF(Y505="Yes",NA(),#REF!)</f>
        <v>#N/A</v>
      </c>
      <c r="AK505" t="e">
        <f>IF(Y505="Yes",NA(),#REF!)</f>
        <v>#N/A</v>
      </c>
    </row>
    <row r="506" spans="1:37" x14ac:dyDescent="0.35">
      <c r="A506" s="12">
        <v>506</v>
      </c>
      <c r="C506">
        <v>58</v>
      </c>
      <c r="E506" s="2">
        <v>2</v>
      </c>
      <c r="F506" s="2">
        <v>4</v>
      </c>
      <c r="G506" t="s">
        <v>213</v>
      </c>
      <c r="H506" t="s">
        <v>929</v>
      </c>
      <c r="J506" s="14">
        <f t="shared" si="37"/>
        <v>397.9</v>
      </c>
      <c r="K506">
        <v>1300</v>
      </c>
      <c r="N506" t="s">
        <v>297</v>
      </c>
      <c r="Q506">
        <v>4</v>
      </c>
      <c r="U506">
        <v>3</v>
      </c>
      <c r="W506" t="s">
        <v>930</v>
      </c>
      <c r="X506" t="s">
        <v>40</v>
      </c>
      <c r="Y506" t="s">
        <v>40</v>
      </c>
      <c r="Z506" t="s">
        <v>789</v>
      </c>
      <c r="AA506">
        <f t="shared" si="34"/>
        <v>39.79</v>
      </c>
      <c r="AB506">
        <v>125</v>
      </c>
      <c r="AC506">
        <f t="shared" si="36"/>
        <v>1.227184630308513</v>
      </c>
      <c r="AI506" t="e">
        <f>IF(Y506="Yes",NA(),#REF!)</f>
        <v>#N/A</v>
      </c>
      <c r="AJ506" t="e">
        <f>IF(Y506="Yes",NA(),#REF!)</f>
        <v>#N/A</v>
      </c>
      <c r="AK506" t="e">
        <f>IF(Y506="Yes",NA(),#REF!)</f>
        <v>#N/A</v>
      </c>
    </row>
    <row r="507" spans="1:37" x14ac:dyDescent="0.35">
      <c r="A507" s="12">
        <v>507</v>
      </c>
      <c r="C507">
        <v>58</v>
      </c>
      <c r="E507" s="2">
        <v>8</v>
      </c>
      <c r="F507" s="2">
        <v>7</v>
      </c>
      <c r="G507" t="s">
        <v>63</v>
      </c>
      <c r="H507" t="s">
        <v>64</v>
      </c>
      <c r="J507" s="14">
        <f t="shared" si="37"/>
        <v>130.5</v>
      </c>
      <c r="K507">
        <v>1300</v>
      </c>
      <c r="N507" t="s">
        <v>54</v>
      </c>
      <c r="Q507">
        <v>4</v>
      </c>
      <c r="W507" t="s">
        <v>931</v>
      </c>
      <c r="Z507" t="s">
        <v>932</v>
      </c>
      <c r="AA507">
        <f t="shared" si="34"/>
        <v>13.05</v>
      </c>
      <c r="AB507">
        <v>41</v>
      </c>
      <c r="AC507">
        <f t="shared" si="36"/>
        <v>0.13202543126711105</v>
      </c>
      <c r="AI507" t="e">
        <f>IF(Y507="Yes",NA(),#REF!)</f>
        <v>#REF!</v>
      </c>
      <c r="AJ507" t="e">
        <f>IF(Y507="Yes",NA(),#REF!)</f>
        <v>#REF!</v>
      </c>
      <c r="AK507" t="e">
        <f>IF(Y507="Yes",NA(),#REF!)</f>
        <v>#REF!</v>
      </c>
    </row>
    <row r="508" spans="1:37" x14ac:dyDescent="0.35">
      <c r="A508" s="12">
        <v>508</v>
      </c>
      <c r="C508">
        <v>58</v>
      </c>
      <c r="E508" s="2">
        <v>7</v>
      </c>
      <c r="F508" s="2">
        <v>8.5</v>
      </c>
      <c r="G508" t="s">
        <v>63</v>
      </c>
      <c r="H508" t="s">
        <v>64</v>
      </c>
      <c r="J508" s="14">
        <f t="shared" si="37"/>
        <v>106.6</v>
      </c>
      <c r="K508">
        <v>1300</v>
      </c>
      <c r="N508" t="s">
        <v>61</v>
      </c>
      <c r="Q508" t="s">
        <v>38</v>
      </c>
      <c r="W508" t="s">
        <v>933</v>
      </c>
      <c r="AA508">
        <f t="shared" si="34"/>
        <v>10.66</v>
      </c>
      <c r="AB508">
        <v>33.5</v>
      </c>
      <c r="AC508">
        <f t="shared" si="36"/>
        <v>8.8141308887278627E-2</v>
      </c>
      <c r="AI508" t="e">
        <f>IF(Y508="Yes",NA(),#REF!)</f>
        <v>#REF!</v>
      </c>
      <c r="AJ508" t="e">
        <f>IF(Y508="Yes",NA(),#REF!)</f>
        <v>#REF!</v>
      </c>
      <c r="AK508" t="e">
        <f>IF(Y508="Yes",NA(),#REF!)</f>
        <v>#REF!</v>
      </c>
    </row>
    <row r="509" spans="1:37" x14ac:dyDescent="0.35">
      <c r="A509" s="12">
        <v>509</v>
      </c>
      <c r="C509">
        <v>58</v>
      </c>
      <c r="E509" s="2">
        <v>6</v>
      </c>
      <c r="F509" s="2">
        <v>8</v>
      </c>
      <c r="G509" t="s">
        <v>63</v>
      </c>
      <c r="H509" t="s">
        <v>64</v>
      </c>
      <c r="J509" s="14">
        <f t="shared" si="37"/>
        <v>108.9</v>
      </c>
      <c r="K509">
        <v>1300</v>
      </c>
      <c r="N509" t="s">
        <v>54</v>
      </c>
      <c r="Q509" t="s">
        <v>934</v>
      </c>
      <c r="W509" t="s">
        <v>935</v>
      </c>
      <c r="AA509">
        <f t="shared" si="34"/>
        <v>10.89</v>
      </c>
      <c r="AB509">
        <v>34.200000000000003</v>
      </c>
      <c r="AC509">
        <f t="shared" si="36"/>
        <v>9.1863310783619159E-2</v>
      </c>
      <c r="AI509" t="e">
        <f>IF(Y509="Yes",NA(),#REF!)</f>
        <v>#REF!</v>
      </c>
      <c r="AJ509" t="e">
        <f>IF(Y509="Yes",NA(),#REF!)</f>
        <v>#REF!</v>
      </c>
      <c r="AK509" t="e">
        <f>IF(Y509="Yes",NA(),#REF!)</f>
        <v>#REF!</v>
      </c>
    </row>
    <row r="510" spans="1:37" x14ac:dyDescent="0.35">
      <c r="A510" s="12">
        <v>510</v>
      </c>
      <c r="C510">
        <v>58</v>
      </c>
      <c r="E510" s="2">
        <v>6</v>
      </c>
      <c r="F510" s="2">
        <v>7.8</v>
      </c>
      <c r="G510" t="s">
        <v>34</v>
      </c>
      <c r="H510" t="s">
        <v>35</v>
      </c>
      <c r="J510" s="14">
        <f t="shared" si="37"/>
        <v>111.4</v>
      </c>
      <c r="K510">
        <v>1300</v>
      </c>
      <c r="N510" t="s">
        <v>37</v>
      </c>
      <c r="Q510">
        <v>1</v>
      </c>
      <c r="W510" t="s">
        <v>936</v>
      </c>
      <c r="X510" t="s">
        <v>40</v>
      </c>
      <c r="Y510" t="s">
        <v>40</v>
      </c>
      <c r="Z510" t="s">
        <v>937</v>
      </c>
      <c r="AA510">
        <f t="shared" si="34"/>
        <v>11.14</v>
      </c>
      <c r="AB510">
        <v>35</v>
      </c>
      <c r="AC510">
        <f t="shared" si="36"/>
        <v>9.6211275016187411E-2</v>
      </c>
      <c r="AI510" t="e">
        <f>IF(Y510="Yes",NA(),#REF!)</f>
        <v>#N/A</v>
      </c>
      <c r="AJ510" t="e">
        <f>IF(Y510="Yes",NA(),#REF!)</f>
        <v>#N/A</v>
      </c>
      <c r="AK510" t="e">
        <f>IF(Y510="Yes",NA(),#REF!)</f>
        <v>#N/A</v>
      </c>
    </row>
    <row r="511" spans="1:37" x14ac:dyDescent="0.35">
      <c r="A511" s="12">
        <v>511</v>
      </c>
      <c r="C511">
        <v>58</v>
      </c>
      <c r="E511" s="2">
        <v>2</v>
      </c>
      <c r="F511" s="2">
        <v>8.5</v>
      </c>
      <c r="G511" t="s">
        <v>145</v>
      </c>
      <c r="H511" t="s">
        <v>393</v>
      </c>
      <c r="J511" s="14">
        <f t="shared" si="37"/>
        <v>143.9</v>
      </c>
      <c r="K511">
        <v>1300</v>
      </c>
      <c r="N511" t="s">
        <v>54</v>
      </c>
      <c r="Q511" t="s">
        <v>934</v>
      </c>
      <c r="U511">
        <v>3</v>
      </c>
      <c r="W511" t="s">
        <v>938</v>
      </c>
      <c r="X511" t="s">
        <v>40</v>
      </c>
      <c r="Y511" t="s">
        <v>40</v>
      </c>
      <c r="Z511" t="s">
        <v>939</v>
      </c>
      <c r="AA511">
        <f t="shared" si="34"/>
        <v>14.39</v>
      </c>
      <c r="AB511">
        <v>45.2</v>
      </c>
      <c r="AC511">
        <f t="shared" si="36"/>
        <v>0.16045998637475228</v>
      </c>
      <c r="AI511" t="e">
        <f>IF(Y511="Yes",NA(),#REF!)</f>
        <v>#N/A</v>
      </c>
      <c r="AJ511" t="e">
        <f>IF(Y511="Yes",NA(),#REF!)</f>
        <v>#N/A</v>
      </c>
      <c r="AK511" t="e">
        <f>IF(Y511="Yes",NA(),#REF!)</f>
        <v>#N/A</v>
      </c>
    </row>
    <row r="512" spans="1:37" x14ac:dyDescent="0.35">
      <c r="A512" s="12">
        <v>512</v>
      </c>
      <c r="C512">
        <v>57</v>
      </c>
      <c r="E512" s="2">
        <v>7</v>
      </c>
      <c r="F512" s="2">
        <v>5</v>
      </c>
      <c r="G512" t="s">
        <v>213</v>
      </c>
      <c r="H512" t="s">
        <v>477</v>
      </c>
      <c r="J512" s="14">
        <f t="shared" si="37"/>
        <v>115.9</v>
      </c>
      <c r="K512">
        <v>1300</v>
      </c>
      <c r="N512" t="s">
        <v>54</v>
      </c>
      <c r="Q512" t="s">
        <v>152</v>
      </c>
      <c r="U512">
        <v>3</v>
      </c>
      <c r="W512" t="s">
        <v>940</v>
      </c>
      <c r="X512" t="s">
        <v>40</v>
      </c>
      <c r="Y512" t="s">
        <v>40</v>
      </c>
      <c r="Z512" t="s">
        <v>941</v>
      </c>
      <c r="AA512">
        <f t="shared" si="34"/>
        <v>11.59</v>
      </c>
      <c r="AB512">
        <v>36.4</v>
      </c>
      <c r="AC512">
        <f t="shared" si="36"/>
        <v>0.1040621150575083</v>
      </c>
      <c r="AI512" t="e">
        <f>IF(Y512="Yes",NA(),#REF!)</f>
        <v>#N/A</v>
      </c>
      <c r="AJ512" t="e">
        <f>IF(Y512="Yes",NA(),#REF!)</f>
        <v>#N/A</v>
      </c>
      <c r="AK512" t="e">
        <f>IF(Y512="Yes",NA(),#REF!)</f>
        <v>#N/A</v>
      </c>
    </row>
    <row r="513" spans="1:37" x14ac:dyDescent="0.35">
      <c r="A513" s="12">
        <v>513</v>
      </c>
      <c r="C513">
        <v>57</v>
      </c>
      <c r="E513" s="2">
        <v>8</v>
      </c>
      <c r="F513" s="2">
        <v>5</v>
      </c>
      <c r="G513" t="s">
        <v>59</v>
      </c>
      <c r="H513" t="s">
        <v>942</v>
      </c>
      <c r="J513" s="14">
        <f t="shared" si="37"/>
        <v>224.7</v>
      </c>
      <c r="K513">
        <v>1300</v>
      </c>
      <c r="N513" t="s">
        <v>54</v>
      </c>
      <c r="Q513">
        <v>4</v>
      </c>
      <c r="R513">
        <v>1</v>
      </c>
      <c r="U513">
        <v>3</v>
      </c>
      <c r="W513" t="s">
        <v>943</v>
      </c>
      <c r="X513" t="s">
        <v>40</v>
      </c>
      <c r="Y513" t="s">
        <v>40</v>
      </c>
      <c r="Z513" t="s">
        <v>944</v>
      </c>
      <c r="AA513">
        <f t="shared" si="34"/>
        <v>22.47</v>
      </c>
      <c r="AB513">
        <v>70.599999999999994</v>
      </c>
      <c r="AC513">
        <f t="shared" si="36"/>
        <v>0.39147071897117042</v>
      </c>
      <c r="AI513" t="e">
        <f>IF(Y513="Yes",NA(),#REF!)</f>
        <v>#N/A</v>
      </c>
      <c r="AJ513" t="e">
        <f>IF(Y513="Yes",NA(),#REF!)</f>
        <v>#N/A</v>
      </c>
      <c r="AK513" t="e">
        <f>IF(Y513="Yes",NA(),#REF!)</f>
        <v>#N/A</v>
      </c>
    </row>
    <row r="514" spans="1:37" x14ac:dyDescent="0.35">
      <c r="A514" s="12">
        <v>514</v>
      </c>
      <c r="C514">
        <v>57</v>
      </c>
      <c r="E514" s="2">
        <v>9</v>
      </c>
      <c r="F514" s="2">
        <v>3</v>
      </c>
      <c r="G514" t="s">
        <v>63</v>
      </c>
      <c r="H514" t="s">
        <v>64</v>
      </c>
      <c r="J514" s="14">
        <f t="shared" si="37"/>
        <v>140.1</v>
      </c>
      <c r="K514">
        <v>1300</v>
      </c>
      <c r="N514" t="s">
        <v>945</v>
      </c>
      <c r="Q514" t="s">
        <v>38</v>
      </c>
      <c r="W514" t="s">
        <v>946</v>
      </c>
      <c r="AA514">
        <f t="shared" si="34"/>
        <v>14.01</v>
      </c>
      <c r="AB514">
        <v>44</v>
      </c>
      <c r="AC514">
        <f t="shared" si="36"/>
        <v>0.15205308443374596</v>
      </c>
      <c r="AI514" t="e">
        <f>IF(Y514="Yes",NA(),#REF!)</f>
        <v>#REF!</v>
      </c>
      <c r="AJ514" t="e">
        <f>IF(Y514="Yes",NA(),#REF!)</f>
        <v>#REF!</v>
      </c>
      <c r="AK514" t="e">
        <f>IF(Y514="Yes",NA(),#REF!)</f>
        <v>#REF!</v>
      </c>
    </row>
    <row r="515" spans="1:37" x14ac:dyDescent="0.35">
      <c r="A515" s="12">
        <v>515</v>
      </c>
      <c r="C515">
        <v>57</v>
      </c>
      <c r="E515" s="2">
        <v>8.5</v>
      </c>
      <c r="F515" s="2">
        <v>6</v>
      </c>
      <c r="G515" t="s">
        <v>63</v>
      </c>
      <c r="H515" t="s">
        <v>64</v>
      </c>
      <c r="J515" s="14">
        <f t="shared" si="37"/>
        <v>99.9</v>
      </c>
      <c r="K515">
        <v>1300</v>
      </c>
      <c r="N515" t="s">
        <v>61</v>
      </c>
      <c r="Q515" t="s">
        <v>55</v>
      </c>
      <c r="W515" t="s">
        <v>947</v>
      </c>
      <c r="AA515">
        <f t="shared" ref="AA515:AA578" si="38">ROUND(AB515/PI(), 2)</f>
        <v>9.99</v>
      </c>
      <c r="AB515">
        <v>31.4</v>
      </c>
      <c r="AC515">
        <f t="shared" si="36"/>
        <v>7.7437117318334803E-2</v>
      </c>
      <c r="AI515" t="e">
        <f>IF(Y515="Yes",NA(),#REF!)</f>
        <v>#REF!</v>
      </c>
      <c r="AJ515" t="e">
        <f>IF(Y515="Yes",NA(),#REF!)</f>
        <v>#REF!</v>
      </c>
      <c r="AK515" t="e">
        <f>IF(Y515="Yes",NA(),#REF!)</f>
        <v>#REF!</v>
      </c>
    </row>
    <row r="516" spans="1:37" x14ac:dyDescent="0.35">
      <c r="A516" s="12">
        <v>516</v>
      </c>
      <c r="C516">
        <v>57</v>
      </c>
      <c r="E516" s="2">
        <v>8</v>
      </c>
      <c r="F516" s="2">
        <v>9</v>
      </c>
      <c r="G516" t="s">
        <v>63</v>
      </c>
      <c r="H516" t="s">
        <v>64</v>
      </c>
      <c r="J516" s="14">
        <f t="shared" si="37"/>
        <v>115.19999999999999</v>
      </c>
      <c r="K516">
        <v>1300</v>
      </c>
      <c r="N516" t="s">
        <v>61</v>
      </c>
      <c r="Q516">
        <v>1</v>
      </c>
      <c r="W516" t="s">
        <v>948</v>
      </c>
      <c r="AA516">
        <f t="shared" si="38"/>
        <v>11.52</v>
      </c>
      <c r="AB516">
        <v>36.200000000000003</v>
      </c>
      <c r="AC516">
        <f t="shared" si="36"/>
        <v>0.10292171692425522</v>
      </c>
      <c r="AI516" t="e">
        <f>IF(Y516="Yes",NA(),#REF!)</f>
        <v>#REF!</v>
      </c>
      <c r="AJ516" t="e">
        <f>IF(Y516="Yes",NA(),#REF!)</f>
        <v>#REF!</v>
      </c>
      <c r="AK516" t="e">
        <f>IF(Y516="Yes",NA(),#REF!)</f>
        <v>#REF!</v>
      </c>
    </row>
    <row r="517" spans="1:37" x14ac:dyDescent="0.35">
      <c r="A517" s="12">
        <v>517</v>
      </c>
      <c r="C517">
        <v>57</v>
      </c>
      <c r="E517" s="2">
        <v>7.8</v>
      </c>
      <c r="F517" s="2">
        <v>5</v>
      </c>
      <c r="G517" t="s">
        <v>137</v>
      </c>
      <c r="H517" t="s">
        <v>138</v>
      </c>
      <c r="J517" s="14">
        <f t="shared" si="37"/>
        <v>143.6</v>
      </c>
      <c r="K517">
        <v>1300</v>
      </c>
      <c r="N517" t="s">
        <v>54</v>
      </c>
      <c r="Q517" t="s">
        <v>55</v>
      </c>
      <c r="U517">
        <v>5</v>
      </c>
      <c r="W517" t="s">
        <v>949</v>
      </c>
      <c r="X517" t="s">
        <v>40</v>
      </c>
      <c r="Y517" t="s">
        <v>40</v>
      </c>
      <c r="AA517">
        <f t="shared" si="38"/>
        <v>14.36</v>
      </c>
      <c r="AB517">
        <v>45.1</v>
      </c>
      <c r="AC517">
        <f t="shared" si="36"/>
        <v>0.15975077183320435</v>
      </c>
      <c r="AI517" t="e">
        <f>IF(Y517="Yes",NA(),#REF!)</f>
        <v>#N/A</v>
      </c>
      <c r="AJ517" t="e">
        <f>IF(Y517="Yes",NA(),#REF!)</f>
        <v>#N/A</v>
      </c>
      <c r="AK517" t="e">
        <f>IF(Y517="Yes",NA(),#REF!)</f>
        <v>#N/A</v>
      </c>
    </row>
    <row r="518" spans="1:37" x14ac:dyDescent="0.35">
      <c r="A518" s="12">
        <v>518</v>
      </c>
      <c r="C518">
        <v>57</v>
      </c>
      <c r="E518" s="2">
        <v>4</v>
      </c>
      <c r="F518" s="2">
        <v>4</v>
      </c>
      <c r="G518" t="s">
        <v>63</v>
      </c>
      <c r="H518" t="s">
        <v>64</v>
      </c>
      <c r="J518" s="14">
        <f t="shared" si="37"/>
        <v>121.30000000000001</v>
      </c>
      <c r="K518">
        <v>1300</v>
      </c>
      <c r="N518" t="s">
        <v>54</v>
      </c>
      <c r="Q518" t="s">
        <v>38</v>
      </c>
      <c r="W518" t="s">
        <v>950</v>
      </c>
      <c r="AA518">
        <f t="shared" si="38"/>
        <v>12.13</v>
      </c>
      <c r="AB518">
        <v>38.1</v>
      </c>
      <c r="AC518">
        <f t="shared" si="36"/>
        <v>0.11400918279693702</v>
      </c>
      <c r="AI518" t="e">
        <f>IF(Y518="Yes",NA(),#REF!)</f>
        <v>#REF!</v>
      </c>
      <c r="AJ518" t="e">
        <f>IF(Y518="Yes",NA(),#REF!)</f>
        <v>#REF!</v>
      </c>
      <c r="AK518" t="e">
        <f>IF(Y518="Yes",NA(),#REF!)</f>
        <v>#REF!</v>
      </c>
    </row>
    <row r="519" spans="1:37" x14ac:dyDescent="0.35">
      <c r="A519" s="12">
        <v>519</v>
      </c>
      <c r="C519">
        <v>56</v>
      </c>
      <c r="E519" s="2">
        <v>1</v>
      </c>
      <c r="F519" s="2">
        <v>3.5</v>
      </c>
      <c r="G519" t="s">
        <v>76</v>
      </c>
      <c r="H519" t="s">
        <v>77</v>
      </c>
      <c r="J519" s="14">
        <f t="shared" si="37"/>
        <v>0</v>
      </c>
      <c r="K519">
        <v>1300</v>
      </c>
      <c r="N519" t="s">
        <v>951</v>
      </c>
      <c r="Q519">
        <v>5</v>
      </c>
      <c r="U519">
        <v>2</v>
      </c>
      <c r="W519" t="s">
        <v>952</v>
      </c>
      <c r="X519" t="s">
        <v>40</v>
      </c>
      <c r="Y519" t="s">
        <v>40</v>
      </c>
      <c r="Z519" t="s">
        <v>953</v>
      </c>
      <c r="AA519">
        <f t="shared" si="38"/>
        <v>0</v>
      </c>
      <c r="AC519">
        <f t="shared" si="36"/>
        <v>0</v>
      </c>
      <c r="AI519" t="e">
        <f>IF(Y519="Yes",NA(),#REF!)</f>
        <v>#N/A</v>
      </c>
      <c r="AJ519" t="e">
        <f>IF(Y519="Yes",NA(),#REF!)</f>
        <v>#N/A</v>
      </c>
      <c r="AK519" t="e">
        <f>IF(Y519="Yes",NA(),#REF!)</f>
        <v>#N/A</v>
      </c>
    </row>
    <row r="520" spans="1:37" x14ac:dyDescent="0.35">
      <c r="A520" s="12">
        <v>520</v>
      </c>
      <c r="C520">
        <v>56</v>
      </c>
      <c r="E520" s="2">
        <v>7</v>
      </c>
      <c r="F520" s="2">
        <v>0.3</v>
      </c>
      <c r="G520" t="s">
        <v>63</v>
      </c>
      <c r="H520" t="s">
        <v>64</v>
      </c>
      <c r="J520" s="14">
        <f t="shared" si="37"/>
        <v>138.5</v>
      </c>
      <c r="K520">
        <v>1300</v>
      </c>
      <c r="N520" t="s">
        <v>54</v>
      </c>
      <c r="Q520" t="s">
        <v>55</v>
      </c>
      <c r="W520" t="s">
        <v>954</v>
      </c>
      <c r="AA520">
        <f t="shared" si="38"/>
        <v>13.85</v>
      </c>
      <c r="AB520">
        <v>43.5</v>
      </c>
      <c r="AC520">
        <f t="shared" si="36"/>
        <v>0.14861696746888214</v>
      </c>
      <c r="AI520" t="e">
        <f>IF(Y520="Yes",NA(),#REF!)</f>
        <v>#REF!</v>
      </c>
      <c r="AJ520" t="e">
        <f>IF(Y520="Yes",NA(),#REF!)</f>
        <v>#REF!</v>
      </c>
      <c r="AK520" t="e">
        <f>IF(Y520="Yes",NA(),#REF!)</f>
        <v>#REF!</v>
      </c>
    </row>
    <row r="521" spans="1:37" x14ac:dyDescent="0.35">
      <c r="A521" s="12">
        <v>521</v>
      </c>
      <c r="C521">
        <v>56</v>
      </c>
      <c r="E521" s="2">
        <v>9.8000000000000007</v>
      </c>
      <c r="F521" s="2">
        <v>0.8</v>
      </c>
      <c r="G521" t="s">
        <v>63</v>
      </c>
      <c r="H521" t="s">
        <v>64</v>
      </c>
      <c r="J521" s="14">
        <f t="shared" si="37"/>
        <v>123.5</v>
      </c>
      <c r="K521">
        <v>1300</v>
      </c>
      <c r="N521" t="s">
        <v>54</v>
      </c>
      <c r="Q521" t="s">
        <v>38</v>
      </c>
      <c r="W521" t="s">
        <v>955</v>
      </c>
      <c r="AA521">
        <f t="shared" si="38"/>
        <v>12.35</v>
      </c>
      <c r="AB521">
        <v>38.799999999999997</v>
      </c>
      <c r="AC521">
        <f t="shared" si="36"/>
        <v>0.11823698111050544</v>
      </c>
      <c r="AI521" t="e">
        <f>IF(Y521="Yes",NA(),#REF!)</f>
        <v>#REF!</v>
      </c>
      <c r="AJ521" t="e">
        <f>IF(Y521="Yes",NA(),#REF!)</f>
        <v>#REF!</v>
      </c>
      <c r="AK521" t="e">
        <f>IF(Y521="Yes",NA(),#REF!)</f>
        <v>#REF!</v>
      </c>
    </row>
    <row r="522" spans="1:37" x14ac:dyDescent="0.35">
      <c r="A522" s="12">
        <v>522</v>
      </c>
      <c r="C522">
        <v>56</v>
      </c>
      <c r="E522" s="2">
        <v>9.8000000000000007</v>
      </c>
      <c r="F522" s="2">
        <v>3.5</v>
      </c>
      <c r="G522" t="s">
        <v>34</v>
      </c>
      <c r="H522" t="s">
        <v>35</v>
      </c>
      <c r="J522" s="14">
        <f t="shared" si="37"/>
        <v>177.89999999999998</v>
      </c>
      <c r="K522">
        <v>1300</v>
      </c>
      <c r="N522" t="s">
        <v>54</v>
      </c>
      <c r="Q522" t="s">
        <v>934</v>
      </c>
      <c r="U522">
        <v>3</v>
      </c>
      <c r="W522" t="s">
        <v>956</v>
      </c>
      <c r="X522" t="s">
        <v>40</v>
      </c>
      <c r="Y522" t="s">
        <v>40</v>
      </c>
      <c r="AA522">
        <f t="shared" si="38"/>
        <v>17.79</v>
      </c>
      <c r="AB522">
        <v>55.9</v>
      </c>
      <c r="AC522">
        <f t="shared" si="36"/>
        <v>0.24542200349659801</v>
      </c>
      <c r="AI522" t="e">
        <f>IF(Y522="Yes",NA(),#REF!)</f>
        <v>#N/A</v>
      </c>
      <c r="AJ522" t="e">
        <f>IF(Y522="Yes",NA(),#REF!)</f>
        <v>#N/A</v>
      </c>
      <c r="AK522" t="e">
        <f>IF(Y522="Yes",NA(),#REF!)</f>
        <v>#N/A</v>
      </c>
    </row>
    <row r="523" spans="1:37" x14ac:dyDescent="0.35">
      <c r="A523" s="12">
        <v>523</v>
      </c>
      <c r="C523">
        <v>56</v>
      </c>
      <c r="E523" s="2">
        <v>8.5</v>
      </c>
      <c r="F523" s="2">
        <v>8.5</v>
      </c>
      <c r="G523" t="s">
        <v>104</v>
      </c>
      <c r="H523" t="s">
        <v>158</v>
      </c>
      <c r="J523" s="14">
        <f t="shared" si="37"/>
        <v>122.5</v>
      </c>
      <c r="K523">
        <v>1300</v>
      </c>
      <c r="N523" t="s">
        <v>54</v>
      </c>
      <c r="Q523" t="s">
        <v>934</v>
      </c>
      <c r="U523">
        <v>3</v>
      </c>
      <c r="W523" t="s">
        <v>957</v>
      </c>
      <c r="X523" t="s">
        <v>40</v>
      </c>
      <c r="Y523" t="s">
        <v>40</v>
      </c>
      <c r="Z523" t="s">
        <v>958</v>
      </c>
      <c r="AA523">
        <f t="shared" si="38"/>
        <v>12.25</v>
      </c>
      <c r="AB523">
        <v>38.5</v>
      </c>
      <c r="AC523">
        <f t="shared" si="36"/>
        <v>0.11641564276958677</v>
      </c>
      <c r="AI523" t="e">
        <f>IF(Y523="Yes",NA(),#REF!)</f>
        <v>#N/A</v>
      </c>
      <c r="AJ523" t="e">
        <f>IF(Y523="Yes",NA(),#REF!)</f>
        <v>#N/A</v>
      </c>
      <c r="AK523" t="e">
        <f>IF(Y523="Yes",NA(),#REF!)</f>
        <v>#N/A</v>
      </c>
    </row>
    <row r="524" spans="1:37" x14ac:dyDescent="0.35">
      <c r="A524" s="12">
        <v>524</v>
      </c>
      <c r="C524">
        <v>56</v>
      </c>
      <c r="E524" s="2">
        <v>3</v>
      </c>
      <c r="F524" s="2">
        <v>5</v>
      </c>
      <c r="G524" t="s">
        <v>114</v>
      </c>
      <c r="H524" t="s">
        <v>35</v>
      </c>
      <c r="J524" s="14">
        <f t="shared" si="37"/>
        <v>118.10000000000001</v>
      </c>
      <c r="K524">
        <v>1300</v>
      </c>
      <c r="N524" t="s">
        <v>54</v>
      </c>
      <c r="Q524" t="s">
        <v>38</v>
      </c>
      <c r="U524">
        <v>3</v>
      </c>
      <c r="W524" t="s">
        <v>959</v>
      </c>
      <c r="X524" t="s">
        <v>40</v>
      </c>
      <c r="Y524" t="s">
        <v>40</v>
      </c>
      <c r="Z524" t="s">
        <v>960</v>
      </c>
      <c r="AA524">
        <f t="shared" si="38"/>
        <v>11.81</v>
      </c>
      <c r="AB524">
        <v>37.1</v>
      </c>
      <c r="AC524">
        <f t="shared" si="36"/>
        <v>0.10810298860818818</v>
      </c>
      <c r="AI524" t="e">
        <f>IF(Y524="Yes",NA(),#REF!)</f>
        <v>#N/A</v>
      </c>
      <c r="AJ524" t="e">
        <f>IF(Y524="Yes",NA(),#REF!)</f>
        <v>#N/A</v>
      </c>
      <c r="AK524" t="e">
        <f>IF(Y524="Yes",NA(),#REF!)</f>
        <v>#N/A</v>
      </c>
    </row>
    <row r="525" spans="1:37" x14ac:dyDescent="0.35">
      <c r="A525" s="12">
        <v>525</v>
      </c>
      <c r="C525">
        <v>56</v>
      </c>
      <c r="E525" s="2">
        <v>1.5</v>
      </c>
      <c r="F525" s="2">
        <v>8.5</v>
      </c>
      <c r="G525" t="s">
        <v>63</v>
      </c>
      <c r="H525" t="s">
        <v>64</v>
      </c>
      <c r="J525" s="14">
        <f t="shared" si="37"/>
        <v>143.19999999999999</v>
      </c>
      <c r="K525">
        <v>1300</v>
      </c>
      <c r="N525" t="s">
        <v>54</v>
      </c>
      <c r="Q525" t="s">
        <v>38</v>
      </c>
      <c r="W525" t="s">
        <v>961</v>
      </c>
      <c r="AA525">
        <f t="shared" si="38"/>
        <v>14.32</v>
      </c>
      <c r="AB525">
        <v>45</v>
      </c>
      <c r="AC525">
        <f t="shared" si="36"/>
        <v>0.15904312808798329</v>
      </c>
      <c r="AI525" t="e">
        <f>IF(Y525="Yes",NA(),#REF!)</f>
        <v>#REF!</v>
      </c>
      <c r="AJ525" t="e">
        <f>IF(Y525="Yes",NA(),#REF!)</f>
        <v>#REF!</v>
      </c>
      <c r="AK525" t="e">
        <f>IF(Y525="Yes",NA(),#REF!)</f>
        <v>#REF!</v>
      </c>
    </row>
    <row r="526" spans="1:37" x14ac:dyDescent="0.35">
      <c r="A526" s="12">
        <v>526</v>
      </c>
      <c r="C526">
        <v>55</v>
      </c>
      <c r="E526" s="2">
        <v>2</v>
      </c>
      <c r="F526" s="2">
        <v>2.5</v>
      </c>
      <c r="G526" t="s">
        <v>34</v>
      </c>
      <c r="H526" t="s">
        <v>35</v>
      </c>
      <c r="J526" s="14">
        <f t="shared" si="37"/>
        <v>221.20000000000002</v>
      </c>
      <c r="K526">
        <v>1300</v>
      </c>
      <c r="N526" t="s">
        <v>54</v>
      </c>
      <c r="Q526">
        <v>4</v>
      </c>
      <c r="U526">
        <v>4</v>
      </c>
      <c r="W526" t="s">
        <v>962</v>
      </c>
      <c r="X526" t="s">
        <v>40</v>
      </c>
      <c r="Y526" t="s">
        <v>40</v>
      </c>
      <c r="Z526" t="s">
        <v>963</v>
      </c>
      <c r="AA526">
        <f t="shared" si="38"/>
        <v>22.12</v>
      </c>
      <c r="AB526">
        <v>69.5</v>
      </c>
      <c r="AC526">
        <f t="shared" si="36"/>
        <v>0.37936694787505243</v>
      </c>
      <c r="AI526" t="e">
        <f>IF(Y526="Yes",NA(),#REF!)</f>
        <v>#N/A</v>
      </c>
      <c r="AJ526" t="e">
        <f>IF(Y526="Yes",NA(),#REF!)</f>
        <v>#N/A</v>
      </c>
      <c r="AK526" t="e">
        <f>IF(Y526="Yes",NA(),#REF!)</f>
        <v>#N/A</v>
      </c>
    </row>
    <row r="527" spans="1:37" x14ac:dyDescent="0.35">
      <c r="A527" s="12">
        <v>527</v>
      </c>
      <c r="C527">
        <v>55</v>
      </c>
      <c r="E527" s="2">
        <v>5.5</v>
      </c>
      <c r="F527" s="2">
        <v>9</v>
      </c>
      <c r="G527" t="s">
        <v>42</v>
      </c>
      <c r="H527" t="s">
        <v>357</v>
      </c>
      <c r="J527" s="14">
        <f t="shared" si="37"/>
        <v>117.8</v>
      </c>
      <c r="K527">
        <v>1300</v>
      </c>
      <c r="N527" t="s">
        <v>61</v>
      </c>
      <c r="Q527">
        <v>1</v>
      </c>
      <c r="U527">
        <v>4</v>
      </c>
      <c r="W527" t="s">
        <v>964</v>
      </c>
      <c r="X527" t="s">
        <v>40</v>
      </c>
      <c r="Y527" t="s">
        <v>40</v>
      </c>
      <c r="Z527" t="s">
        <v>965</v>
      </c>
      <c r="AA527">
        <f t="shared" si="38"/>
        <v>11.78</v>
      </c>
      <c r="AB527">
        <v>37</v>
      </c>
      <c r="AC527">
        <f t="shared" si="36"/>
        <v>0.10752100856911068</v>
      </c>
      <c r="AI527" t="e">
        <f>IF(Y527="Yes",NA(),#REF!)</f>
        <v>#N/A</v>
      </c>
      <c r="AJ527" t="e">
        <f>IF(Y527="Yes",NA(),#REF!)</f>
        <v>#N/A</v>
      </c>
      <c r="AK527" t="e">
        <f>IF(Y527="Yes",NA(),#REF!)</f>
        <v>#N/A</v>
      </c>
    </row>
    <row r="528" spans="1:37" x14ac:dyDescent="0.35">
      <c r="A528" s="12">
        <v>528</v>
      </c>
      <c r="C528">
        <v>55</v>
      </c>
      <c r="E528" s="2">
        <v>5</v>
      </c>
      <c r="F528" s="2">
        <v>9</v>
      </c>
      <c r="G528" t="s">
        <v>42</v>
      </c>
      <c r="H528" t="s">
        <v>357</v>
      </c>
      <c r="J528" s="14">
        <f t="shared" si="37"/>
        <v>102.2</v>
      </c>
      <c r="K528">
        <v>1300</v>
      </c>
      <c r="N528" t="s">
        <v>61</v>
      </c>
      <c r="Q528">
        <v>1</v>
      </c>
      <c r="U528">
        <v>3</v>
      </c>
      <c r="W528" t="s">
        <v>966</v>
      </c>
      <c r="X528" t="s">
        <v>40</v>
      </c>
      <c r="Y528" t="s">
        <v>40</v>
      </c>
      <c r="Z528" t="s">
        <v>967</v>
      </c>
      <c r="AA528">
        <f t="shared" si="38"/>
        <v>10.220000000000001</v>
      </c>
      <c r="AB528">
        <v>32.1</v>
      </c>
      <c r="AC528">
        <f t="shared" si="36"/>
        <v>8.092821215463647E-2</v>
      </c>
      <c r="AI528" t="e">
        <f>IF(Y528="Yes",NA(),#REF!)</f>
        <v>#N/A</v>
      </c>
      <c r="AJ528" t="e">
        <f>IF(Y528="Yes",NA(),#REF!)</f>
        <v>#N/A</v>
      </c>
      <c r="AK528" t="e">
        <f>IF(Y528="Yes",NA(),#REF!)</f>
        <v>#N/A</v>
      </c>
    </row>
    <row r="529" spans="1:37" x14ac:dyDescent="0.35">
      <c r="A529" s="12">
        <v>529</v>
      </c>
      <c r="C529">
        <v>55</v>
      </c>
      <c r="E529" s="2">
        <v>4</v>
      </c>
      <c r="F529" s="2">
        <v>9</v>
      </c>
      <c r="G529" t="s">
        <v>63</v>
      </c>
      <c r="H529" t="s">
        <v>64</v>
      </c>
      <c r="J529" s="14">
        <f t="shared" si="37"/>
        <v>110.1</v>
      </c>
      <c r="K529">
        <v>1300</v>
      </c>
      <c r="N529" t="s">
        <v>61</v>
      </c>
      <c r="Q529">
        <v>1</v>
      </c>
      <c r="W529" t="s">
        <v>968</v>
      </c>
      <c r="Z529" t="s">
        <v>969</v>
      </c>
      <c r="AA529">
        <f t="shared" si="38"/>
        <v>11.01</v>
      </c>
      <c r="AB529">
        <v>34.6</v>
      </c>
      <c r="AC529">
        <f t="shared" si="36"/>
        <v>9.4024726529288921E-2</v>
      </c>
      <c r="AI529" t="e">
        <f>IF(Y529="Yes",NA(),#REF!)</f>
        <v>#REF!</v>
      </c>
      <c r="AJ529" t="e">
        <f>IF(Y529="Yes",NA(),#REF!)</f>
        <v>#REF!</v>
      </c>
      <c r="AK529" t="e">
        <f>IF(Y529="Yes",NA(),#REF!)</f>
        <v>#REF!</v>
      </c>
    </row>
    <row r="530" spans="1:37" x14ac:dyDescent="0.35">
      <c r="A530" s="12">
        <v>530</v>
      </c>
      <c r="C530">
        <v>54</v>
      </c>
      <c r="E530" s="2">
        <v>6.5</v>
      </c>
      <c r="F530" s="2">
        <v>5</v>
      </c>
      <c r="G530" t="s">
        <v>145</v>
      </c>
      <c r="H530" t="s">
        <v>146</v>
      </c>
      <c r="J530" s="14">
        <f t="shared" si="37"/>
        <v>133.1</v>
      </c>
      <c r="K530">
        <v>1300</v>
      </c>
      <c r="N530" t="s">
        <v>54</v>
      </c>
      <c r="Q530" t="s">
        <v>55</v>
      </c>
      <c r="U530">
        <v>3</v>
      </c>
      <c r="W530" t="s">
        <v>970</v>
      </c>
      <c r="X530" t="s">
        <v>40</v>
      </c>
      <c r="Y530" t="s">
        <v>40</v>
      </c>
      <c r="Z530" t="s">
        <v>971</v>
      </c>
      <c r="AA530">
        <f t="shared" si="38"/>
        <v>13.31</v>
      </c>
      <c r="AB530">
        <v>41.8</v>
      </c>
      <c r="AC530">
        <f t="shared" si="36"/>
        <v>0.13722790870145574</v>
      </c>
      <c r="AI530" t="e">
        <f>IF(Y530="Yes",NA(),#REF!)</f>
        <v>#N/A</v>
      </c>
      <c r="AJ530" t="e">
        <f>IF(Y530="Yes",NA(),#REF!)</f>
        <v>#N/A</v>
      </c>
      <c r="AK530" t="e">
        <f>IF(Y530="Yes",NA(),#REF!)</f>
        <v>#N/A</v>
      </c>
    </row>
    <row r="531" spans="1:37" x14ac:dyDescent="0.35">
      <c r="A531" s="12">
        <v>531</v>
      </c>
      <c r="C531">
        <v>54</v>
      </c>
      <c r="E531" s="2">
        <v>3</v>
      </c>
      <c r="F531" s="2">
        <v>2</v>
      </c>
      <c r="G531" t="s">
        <v>670</v>
      </c>
      <c r="H531" t="s">
        <v>972</v>
      </c>
      <c r="J531" s="14">
        <f t="shared" si="37"/>
        <v>317</v>
      </c>
      <c r="K531">
        <v>1300</v>
      </c>
      <c r="N531" t="s">
        <v>54</v>
      </c>
      <c r="Q531">
        <v>4</v>
      </c>
      <c r="W531" t="s">
        <v>973</v>
      </c>
      <c r="X531" t="s">
        <v>40</v>
      </c>
      <c r="Y531" t="s">
        <v>40</v>
      </c>
      <c r="Z531" t="s">
        <v>974</v>
      </c>
      <c r="AA531">
        <f t="shared" si="38"/>
        <v>31.7</v>
      </c>
      <c r="AB531">
        <v>99.6</v>
      </c>
      <c r="AC531">
        <f t="shared" si="36"/>
        <v>0.77912754446088306</v>
      </c>
      <c r="AI531" t="e">
        <f>IF(Y531="Yes",NA(),#REF!)</f>
        <v>#N/A</v>
      </c>
      <c r="AJ531" t="e">
        <f>IF(Y531="Yes",NA(),#REF!)</f>
        <v>#N/A</v>
      </c>
      <c r="AK531" t="e">
        <f>IF(Y531="Yes",NA(),#REF!)</f>
        <v>#N/A</v>
      </c>
    </row>
    <row r="532" spans="1:37" x14ac:dyDescent="0.35">
      <c r="A532" s="12">
        <v>532</v>
      </c>
      <c r="C532">
        <v>54</v>
      </c>
      <c r="E532" s="2">
        <v>5</v>
      </c>
      <c r="F532" s="2">
        <v>3</v>
      </c>
      <c r="G532" t="s">
        <v>42</v>
      </c>
      <c r="H532" t="s">
        <v>35</v>
      </c>
      <c r="J532" s="14">
        <f t="shared" si="37"/>
        <v>108.5</v>
      </c>
      <c r="K532">
        <v>1300</v>
      </c>
      <c r="N532" t="s">
        <v>54</v>
      </c>
      <c r="Q532">
        <v>1</v>
      </c>
      <c r="R532">
        <v>1</v>
      </c>
      <c r="W532" t="s">
        <v>975</v>
      </c>
      <c r="X532" t="s">
        <v>40</v>
      </c>
      <c r="Y532" t="s">
        <v>40</v>
      </c>
      <c r="Z532" t="s">
        <v>976</v>
      </c>
      <c r="AA532">
        <f t="shared" si="38"/>
        <v>10.85</v>
      </c>
      <c r="AB532">
        <v>34.1</v>
      </c>
      <c r="AC532">
        <f t="shared" si="36"/>
        <v>9.1326883838018694E-2</v>
      </c>
      <c r="AI532" t="e">
        <f>IF(Y532="Yes",NA(),#REF!)</f>
        <v>#N/A</v>
      </c>
      <c r="AJ532" t="e">
        <f>IF(Y532="Yes",NA(),#REF!)</f>
        <v>#N/A</v>
      </c>
      <c r="AK532" t="e">
        <f>IF(Y532="Yes",NA(),#REF!)</f>
        <v>#N/A</v>
      </c>
    </row>
    <row r="533" spans="1:37" x14ac:dyDescent="0.35">
      <c r="A533" s="12">
        <v>533</v>
      </c>
      <c r="C533">
        <v>54</v>
      </c>
      <c r="E533" s="2">
        <v>8.5</v>
      </c>
      <c r="F533" s="2">
        <v>4</v>
      </c>
      <c r="G533" t="s">
        <v>63</v>
      </c>
      <c r="H533" t="s">
        <v>64</v>
      </c>
      <c r="J533" s="14">
        <f t="shared" si="37"/>
        <v>114.60000000000001</v>
      </c>
      <c r="K533">
        <v>1300</v>
      </c>
      <c r="N533" t="s">
        <v>54</v>
      </c>
      <c r="Q533" t="s">
        <v>38</v>
      </c>
      <c r="W533" t="s">
        <v>977</v>
      </c>
      <c r="AA533">
        <f t="shared" si="38"/>
        <v>11.46</v>
      </c>
      <c r="AB533">
        <v>36</v>
      </c>
      <c r="AC533">
        <f t="shared" si="36"/>
        <v>0.10178760197630929</v>
      </c>
      <c r="AI533" t="e">
        <f>IF(Y533="Yes",NA(),#REF!)</f>
        <v>#REF!</v>
      </c>
      <c r="AJ533" t="e">
        <f>IF(Y533="Yes",NA(),#REF!)</f>
        <v>#REF!</v>
      </c>
      <c r="AK533" t="e">
        <f>IF(Y533="Yes",NA(),#REF!)</f>
        <v>#REF!</v>
      </c>
    </row>
    <row r="534" spans="1:37" x14ac:dyDescent="0.35">
      <c r="A534" s="12">
        <v>534</v>
      </c>
      <c r="C534">
        <v>54</v>
      </c>
      <c r="E534" s="23">
        <v>6.5</v>
      </c>
      <c r="F534" s="23">
        <v>5</v>
      </c>
      <c r="G534" t="s">
        <v>467</v>
      </c>
      <c r="H534" t="s">
        <v>468</v>
      </c>
      <c r="J534" s="14">
        <f t="shared" si="37"/>
        <v>131.80000000000001</v>
      </c>
      <c r="K534">
        <v>1300</v>
      </c>
      <c r="N534" t="s">
        <v>54</v>
      </c>
      <c r="Q534" t="s">
        <v>38</v>
      </c>
      <c r="W534" t="s">
        <v>978</v>
      </c>
      <c r="X534" t="s">
        <v>40</v>
      </c>
      <c r="Y534" t="s">
        <v>40</v>
      </c>
      <c r="AA534">
        <f t="shared" si="38"/>
        <v>13.18</v>
      </c>
      <c r="AB534" s="26">
        <v>41.4</v>
      </c>
      <c r="AC534">
        <f t="shared" si="36"/>
        <v>0.13461410361366904</v>
      </c>
      <c r="AI534" t="e">
        <f>IF(Y534="Yes",NA(),#REF!)</f>
        <v>#N/A</v>
      </c>
      <c r="AJ534" t="e">
        <f>IF(Y534="Yes",NA(),#REF!)</f>
        <v>#N/A</v>
      </c>
      <c r="AK534" t="e">
        <f>IF(Y534="Yes",NA(),#REF!)</f>
        <v>#N/A</v>
      </c>
    </row>
    <row r="535" spans="1:37" x14ac:dyDescent="0.35">
      <c r="A535" s="12">
        <v>535</v>
      </c>
      <c r="C535">
        <v>54</v>
      </c>
      <c r="E535" s="2">
        <v>5</v>
      </c>
      <c r="F535" s="2">
        <v>5</v>
      </c>
      <c r="G535" t="s">
        <v>89</v>
      </c>
      <c r="H535" t="s">
        <v>90</v>
      </c>
      <c r="J535" s="14">
        <f t="shared" si="37"/>
        <v>129.60000000000002</v>
      </c>
      <c r="K535">
        <v>1300</v>
      </c>
      <c r="N535" t="s">
        <v>54</v>
      </c>
      <c r="Q535" t="s">
        <v>38</v>
      </c>
      <c r="U535">
        <v>3</v>
      </c>
      <c r="W535" t="s">
        <v>979</v>
      </c>
      <c r="X535" t="s">
        <v>40</v>
      </c>
      <c r="Y535" t="s">
        <v>40</v>
      </c>
      <c r="AA535">
        <f t="shared" si="38"/>
        <v>12.96</v>
      </c>
      <c r="AB535">
        <v>40.700000000000003</v>
      </c>
      <c r="AC535">
        <f t="shared" si="36"/>
        <v>0.13010042036862393</v>
      </c>
      <c r="AI535" t="e">
        <f>IF(Y535="Yes",NA(),#REF!)</f>
        <v>#N/A</v>
      </c>
      <c r="AJ535" t="e">
        <f>IF(Y535="Yes",NA(),#REF!)</f>
        <v>#N/A</v>
      </c>
      <c r="AK535" t="e">
        <f>IF(Y535="Yes",NA(),#REF!)</f>
        <v>#N/A</v>
      </c>
    </row>
    <row r="536" spans="1:37" x14ac:dyDescent="0.35">
      <c r="A536" s="12">
        <v>536</v>
      </c>
      <c r="C536">
        <v>54</v>
      </c>
      <c r="E536" s="2">
        <v>9</v>
      </c>
      <c r="F536" s="2">
        <v>8</v>
      </c>
      <c r="G536" t="s">
        <v>89</v>
      </c>
      <c r="H536" t="s">
        <v>90</v>
      </c>
      <c r="J536" s="14">
        <f t="shared" si="37"/>
        <v>162.30000000000001</v>
      </c>
      <c r="K536">
        <v>1300</v>
      </c>
      <c r="N536" t="s">
        <v>54</v>
      </c>
      <c r="Q536" t="s">
        <v>152</v>
      </c>
      <c r="U536">
        <v>3</v>
      </c>
      <c r="W536" t="s">
        <v>980</v>
      </c>
      <c r="X536" t="s">
        <v>40</v>
      </c>
      <c r="Y536" t="s">
        <v>40</v>
      </c>
      <c r="Z536" t="s">
        <v>981</v>
      </c>
      <c r="AA536">
        <f t="shared" si="38"/>
        <v>16.23</v>
      </c>
      <c r="AB536">
        <v>51</v>
      </c>
      <c r="AC536">
        <f t="shared" si="36"/>
        <v>0.2042820622996763</v>
      </c>
      <c r="AI536" t="e">
        <f>IF(Y536="Yes",NA(),#REF!)</f>
        <v>#N/A</v>
      </c>
      <c r="AJ536" t="e">
        <f>IF(Y536="Yes",NA(),#REF!)</f>
        <v>#N/A</v>
      </c>
      <c r="AK536" t="e">
        <f>IF(Y536="Yes",NA(),#REF!)</f>
        <v>#N/A</v>
      </c>
    </row>
    <row r="537" spans="1:37" x14ac:dyDescent="0.35">
      <c r="A537" s="12">
        <v>537</v>
      </c>
      <c r="C537">
        <v>54</v>
      </c>
      <c r="E537" s="2">
        <v>7</v>
      </c>
      <c r="F537" s="2">
        <v>7</v>
      </c>
      <c r="G537" t="s">
        <v>251</v>
      </c>
      <c r="H537" t="s">
        <v>982</v>
      </c>
      <c r="J537" s="14">
        <f t="shared" si="37"/>
        <v>402.70000000000005</v>
      </c>
      <c r="K537">
        <v>1300</v>
      </c>
      <c r="N537" t="s">
        <v>54</v>
      </c>
      <c r="Q537">
        <v>5</v>
      </c>
      <c r="W537" t="s">
        <v>983</v>
      </c>
      <c r="X537" t="s">
        <v>40</v>
      </c>
      <c r="Y537" t="s">
        <v>40</v>
      </c>
      <c r="Z537" t="s">
        <v>984</v>
      </c>
      <c r="AA537">
        <f t="shared" si="38"/>
        <v>40.270000000000003</v>
      </c>
      <c r="AB537">
        <v>126.5</v>
      </c>
      <c r="AC537">
        <f t="shared" si="36"/>
        <v>1.2568137760226816</v>
      </c>
      <c r="AI537" t="e">
        <f>IF(Y537="Yes",NA(),#REF!)</f>
        <v>#N/A</v>
      </c>
      <c r="AJ537" t="e">
        <f>IF(Y537="Yes",NA(),#REF!)</f>
        <v>#N/A</v>
      </c>
      <c r="AK537" t="e">
        <f>IF(Y537="Yes",NA(),#REF!)</f>
        <v>#N/A</v>
      </c>
    </row>
    <row r="538" spans="1:37" x14ac:dyDescent="0.35">
      <c r="A538" s="12">
        <v>538</v>
      </c>
      <c r="C538">
        <v>54</v>
      </c>
      <c r="E538" s="2">
        <v>7.5</v>
      </c>
      <c r="F538" s="2">
        <v>9.5</v>
      </c>
      <c r="G538" t="s">
        <v>70</v>
      </c>
      <c r="H538" t="s">
        <v>35</v>
      </c>
      <c r="J538" s="14">
        <f t="shared" si="37"/>
        <v>216.5</v>
      </c>
      <c r="K538">
        <v>1300</v>
      </c>
      <c r="N538" t="s">
        <v>54</v>
      </c>
      <c r="Q538" t="s">
        <v>152</v>
      </c>
      <c r="U538">
        <v>3</v>
      </c>
      <c r="W538" t="s">
        <v>985</v>
      </c>
      <c r="X538" t="s">
        <v>40</v>
      </c>
      <c r="Y538" t="s">
        <v>40</v>
      </c>
      <c r="Z538" t="s">
        <v>986</v>
      </c>
      <c r="AA538">
        <f t="shared" si="38"/>
        <v>21.65</v>
      </c>
      <c r="AB538">
        <v>68</v>
      </c>
      <c r="AC538">
        <f t="shared" si="36"/>
        <v>0.36316811075498012</v>
      </c>
      <c r="AI538" t="e">
        <f>IF(Y538="Yes",NA(),#REF!)</f>
        <v>#N/A</v>
      </c>
      <c r="AJ538" t="e">
        <f>IF(Y538="Yes",NA(),#REF!)</f>
        <v>#N/A</v>
      </c>
      <c r="AK538" t="e">
        <f>IF(Y538="Yes",NA(),#REF!)</f>
        <v>#N/A</v>
      </c>
    </row>
    <row r="539" spans="1:37" x14ac:dyDescent="0.35">
      <c r="A539" s="12">
        <v>539</v>
      </c>
      <c r="C539">
        <v>54</v>
      </c>
      <c r="E539" s="2">
        <v>4</v>
      </c>
      <c r="F539" s="2">
        <v>8</v>
      </c>
      <c r="G539" t="s">
        <v>66</v>
      </c>
      <c r="H539" t="s">
        <v>67</v>
      </c>
      <c r="J539" s="14">
        <f t="shared" si="37"/>
        <v>158.5</v>
      </c>
      <c r="K539">
        <v>1300</v>
      </c>
      <c r="N539" t="s">
        <v>61</v>
      </c>
      <c r="Q539" t="s">
        <v>55</v>
      </c>
      <c r="R539">
        <v>1</v>
      </c>
      <c r="W539" t="s">
        <v>987</v>
      </c>
      <c r="X539" t="s">
        <v>40</v>
      </c>
      <c r="Y539" t="s">
        <v>40</v>
      </c>
      <c r="Z539" t="s">
        <v>988</v>
      </c>
      <c r="AA539">
        <f t="shared" si="38"/>
        <v>15.85</v>
      </c>
      <c r="AB539" s="26">
        <v>49.8</v>
      </c>
      <c r="AC539">
        <f t="shared" si="36"/>
        <v>0.19478188611522076</v>
      </c>
      <c r="AI539" t="e">
        <f>IF(Y539="Yes",NA(),#REF!)</f>
        <v>#N/A</v>
      </c>
      <c r="AJ539" t="e">
        <f>IF(Y539="Yes",NA(),#REF!)</f>
        <v>#N/A</v>
      </c>
      <c r="AK539" t="e">
        <f>IF(Y539="Yes",NA(),#REF!)</f>
        <v>#N/A</v>
      </c>
    </row>
    <row r="540" spans="1:37" x14ac:dyDescent="0.35">
      <c r="A540" s="12">
        <v>540</v>
      </c>
      <c r="C540">
        <v>54</v>
      </c>
      <c r="E540" s="2">
        <v>2</v>
      </c>
      <c r="F540" s="2">
        <v>7</v>
      </c>
      <c r="G540" t="s">
        <v>70</v>
      </c>
      <c r="H540" t="s">
        <v>71</v>
      </c>
      <c r="J540" s="14">
        <f t="shared" si="37"/>
        <v>198.9</v>
      </c>
      <c r="K540">
        <v>1300</v>
      </c>
      <c r="N540" t="s">
        <v>54</v>
      </c>
      <c r="Q540" t="s">
        <v>38</v>
      </c>
      <c r="W540" t="s">
        <v>989</v>
      </c>
      <c r="X540" t="s">
        <v>40</v>
      </c>
      <c r="Y540" t="s">
        <v>40</v>
      </c>
      <c r="AA540">
        <f t="shared" si="38"/>
        <v>19.89</v>
      </c>
      <c r="AB540">
        <v>62.5</v>
      </c>
      <c r="AC540">
        <f t="shared" si="36"/>
        <v>0.30679615757712825</v>
      </c>
      <c r="AI540" t="e">
        <f>IF(Y540="Yes",NA(),#REF!)</f>
        <v>#N/A</v>
      </c>
      <c r="AJ540" t="e">
        <f>IF(Y540="Yes",NA(),#REF!)</f>
        <v>#N/A</v>
      </c>
      <c r="AK540" t="e">
        <f>IF(Y540="Yes",NA(),#REF!)</f>
        <v>#N/A</v>
      </c>
    </row>
    <row r="541" spans="1:37" x14ac:dyDescent="0.35">
      <c r="A541" s="12">
        <v>541</v>
      </c>
      <c r="C541">
        <v>54</v>
      </c>
      <c r="E541" s="2">
        <v>3</v>
      </c>
      <c r="F541" s="2">
        <v>6</v>
      </c>
      <c r="G541" t="s">
        <v>66</v>
      </c>
      <c r="H541" t="s">
        <v>67</v>
      </c>
      <c r="J541" s="14">
        <f t="shared" si="37"/>
        <v>316.39999999999998</v>
      </c>
      <c r="K541">
        <v>1300</v>
      </c>
      <c r="N541" t="s">
        <v>54</v>
      </c>
      <c r="Q541">
        <v>4</v>
      </c>
      <c r="W541" t="s">
        <v>990</v>
      </c>
      <c r="X541" t="s">
        <v>40</v>
      </c>
      <c r="Y541" t="s">
        <v>40</v>
      </c>
      <c r="AA541">
        <f t="shared" si="38"/>
        <v>31.64</v>
      </c>
      <c r="AB541" s="26">
        <v>99.4</v>
      </c>
      <c r="AC541">
        <f t="shared" si="36"/>
        <v>0.77600165977056135</v>
      </c>
      <c r="AI541" t="e">
        <f>IF(Y541="Yes",NA(),#REF!)</f>
        <v>#N/A</v>
      </c>
      <c r="AJ541" t="e">
        <f>IF(Y541="Yes",NA(),#REF!)</f>
        <v>#N/A</v>
      </c>
      <c r="AK541" t="e">
        <f>IF(Y541="Yes",NA(),#REF!)</f>
        <v>#N/A</v>
      </c>
    </row>
    <row r="542" spans="1:37" x14ac:dyDescent="0.35">
      <c r="A542" s="12">
        <v>542</v>
      </c>
      <c r="C542">
        <v>54</v>
      </c>
      <c r="E542" s="2">
        <v>2</v>
      </c>
      <c r="F542" s="2">
        <v>5</v>
      </c>
      <c r="G542" t="s">
        <v>63</v>
      </c>
      <c r="H542" t="s">
        <v>64</v>
      </c>
      <c r="J542" s="14">
        <f t="shared" si="37"/>
        <v>113.3</v>
      </c>
      <c r="K542">
        <v>1300</v>
      </c>
      <c r="N542" t="s">
        <v>54</v>
      </c>
      <c r="Q542" t="s">
        <v>55</v>
      </c>
      <c r="W542" t="s">
        <v>991</v>
      </c>
      <c r="AA542">
        <f t="shared" si="38"/>
        <v>11.33</v>
      </c>
      <c r="AB542">
        <v>35.6</v>
      </c>
      <c r="AC542">
        <f t="shared" si="36"/>
        <v>9.9538221636339019E-2</v>
      </c>
      <c r="AI542" t="e">
        <f>IF(Y542="Yes",NA(),#REF!)</f>
        <v>#REF!</v>
      </c>
      <c r="AJ542" t="e">
        <f>IF(Y542="Yes",NA(),#REF!)</f>
        <v>#REF!</v>
      </c>
      <c r="AK542" t="e">
        <f>IF(Y542="Yes",NA(),#REF!)</f>
        <v>#REF!</v>
      </c>
    </row>
    <row r="543" spans="1:37" x14ac:dyDescent="0.35">
      <c r="A543" s="12">
        <v>543</v>
      </c>
      <c r="C543">
        <v>53</v>
      </c>
      <c r="E543" s="2">
        <v>3.5</v>
      </c>
      <c r="F543" s="2">
        <v>3.5</v>
      </c>
      <c r="G543" t="s">
        <v>360</v>
      </c>
      <c r="H543" t="s">
        <v>361</v>
      </c>
      <c r="J543" s="14">
        <f t="shared" si="37"/>
        <v>345.7</v>
      </c>
      <c r="K543">
        <v>1300</v>
      </c>
      <c r="N543" t="s">
        <v>37</v>
      </c>
      <c r="Q543">
        <v>5</v>
      </c>
      <c r="W543" t="s">
        <v>992</v>
      </c>
      <c r="X543" t="s">
        <v>40</v>
      </c>
      <c r="Y543" t="s">
        <v>40</v>
      </c>
      <c r="Z543" t="s">
        <v>993</v>
      </c>
      <c r="AA543">
        <f t="shared" si="38"/>
        <v>34.57</v>
      </c>
      <c r="AB543">
        <v>108.6</v>
      </c>
      <c r="AC543">
        <f t="shared" si="36"/>
        <v>0.92629545231829669</v>
      </c>
      <c r="AI543" t="e">
        <f>IF(Y541="Yes",NA(),#REF!)</f>
        <v>#N/A</v>
      </c>
      <c r="AJ543" t="e">
        <f>IF(Y541="Yes",NA(),#REF!)</f>
        <v>#N/A</v>
      </c>
      <c r="AK543" t="e">
        <f>IF(Y541="Yes",NA(),#REF!)</f>
        <v>#N/A</v>
      </c>
    </row>
    <row r="544" spans="1:37" x14ac:dyDescent="0.35">
      <c r="A544" s="12">
        <v>544</v>
      </c>
      <c r="C544">
        <v>53</v>
      </c>
      <c r="E544" s="2">
        <v>4</v>
      </c>
      <c r="F544" s="2">
        <v>4</v>
      </c>
      <c r="G544" t="s">
        <v>66</v>
      </c>
      <c r="H544" t="s">
        <v>377</v>
      </c>
      <c r="J544" s="14">
        <f t="shared" si="37"/>
        <v>389.90000000000003</v>
      </c>
      <c r="K544">
        <v>1300</v>
      </c>
      <c r="N544" t="s">
        <v>37</v>
      </c>
      <c r="Q544">
        <v>5</v>
      </c>
      <c r="W544" t="s">
        <v>994</v>
      </c>
      <c r="X544" t="s">
        <v>40</v>
      </c>
      <c r="Y544" t="s">
        <v>40</v>
      </c>
      <c r="Z544" t="s">
        <v>995</v>
      </c>
      <c r="AA544">
        <f t="shared" si="38"/>
        <v>38.99</v>
      </c>
      <c r="AB544">
        <v>122.5</v>
      </c>
      <c r="AC544">
        <f t="shared" si="36"/>
        <v>1.1785881189482958</v>
      </c>
      <c r="AI544" t="e">
        <f>IF(Y544="Yes",NA(),#REF!)</f>
        <v>#N/A</v>
      </c>
      <c r="AJ544" t="e">
        <f>IF(Y544="Yes",NA(),#REF!)</f>
        <v>#N/A</v>
      </c>
      <c r="AK544" t="e">
        <f>IF(Y544="Yes",NA(),#REF!)</f>
        <v>#N/A</v>
      </c>
    </row>
    <row r="545" spans="1:37" x14ac:dyDescent="0.35">
      <c r="A545" s="12">
        <v>545</v>
      </c>
      <c r="C545">
        <v>53</v>
      </c>
      <c r="E545" s="2">
        <v>4.5</v>
      </c>
      <c r="F545" s="2">
        <v>4</v>
      </c>
      <c r="G545" t="s">
        <v>63</v>
      </c>
      <c r="H545" t="s">
        <v>64</v>
      </c>
      <c r="J545" s="14">
        <f t="shared" si="37"/>
        <v>109.80000000000001</v>
      </c>
      <c r="K545">
        <v>1300</v>
      </c>
      <c r="N545" t="s">
        <v>297</v>
      </c>
      <c r="Q545" t="s">
        <v>55</v>
      </c>
      <c r="W545" t="s">
        <v>996</v>
      </c>
      <c r="Z545" t="s">
        <v>997</v>
      </c>
      <c r="AA545">
        <f t="shared" si="38"/>
        <v>10.98</v>
      </c>
      <c r="AB545">
        <v>34.5</v>
      </c>
      <c r="AC545">
        <f t="shared" si="36"/>
        <v>9.3482016398381274E-2</v>
      </c>
      <c r="AI545" t="e">
        <f>IF(Y545="Yes",NA(),#REF!)</f>
        <v>#REF!</v>
      </c>
      <c r="AJ545" t="e">
        <f>IF(Y545="Yes",NA(),#REF!)</f>
        <v>#REF!</v>
      </c>
      <c r="AK545" t="e">
        <f>IF(Y545="Yes",NA(),#REF!)</f>
        <v>#REF!</v>
      </c>
    </row>
    <row r="546" spans="1:37" x14ac:dyDescent="0.35">
      <c r="A546" s="12">
        <v>546</v>
      </c>
      <c r="C546">
        <v>53</v>
      </c>
      <c r="E546" s="2">
        <v>5</v>
      </c>
      <c r="F546" s="2">
        <v>1.5</v>
      </c>
      <c r="G546" t="s">
        <v>360</v>
      </c>
      <c r="H546" t="s">
        <v>361</v>
      </c>
      <c r="J546" s="14">
        <f t="shared" si="37"/>
        <v>146.4</v>
      </c>
      <c r="K546">
        <v>1300</v>
      </c>
      <c r="N546" t="s">
        <v>61</v>
      </c>
      <c r="Q546" t="s">
        <v>152</v>
      </c>
      <c r="W546" t="s">
        <v>998</v>
      </c>
      <c r="X546" t="s">
        <v>40</v>
      </c>
      <c r="Y546" t="s">
        <v>40</v>
      </c>
      <c r="AA546">
        <f t="shared" si="38"/>
        <v>14.64</v>
      </c>
      <c r="AB546">
        <v>46</v>
      </c>
      <c r="AC546">
        <f t="shared" si="36"/>
        <v>0.16619025137490004</v>
      </c>
      <c r="AI546" t="e">
        <f>IF(Y546="Yes",NA(),#REF!)</f>
        <v>#N/A</v>
      </c>
      <c r="AJ546" t="e">
        <f>IF(Y546="Yes",NA(),#REF!)</f>
        <v>#N/A</v>
      </c>
      <c r="AK546" t="e">
        <f>IF(Y546="Yes",NA(),#REF!)</f>
        <v>#N/A</v>
      </c>
    </row>
    <row r="547" spans="1:37" x14ac:dyDescent="0.35">
      <c r="A547" s="12">
        <v>547</v>
      </c>
      <c r="C547">
        <v>53</v>
      </c>
      <c r="G547" t="s">
        <v>66</v>
      </c>
      <c r="H547" t="s">
        <v>67</v>
      </c>
      <c r="J547" s="14">
        <f t="shared" si="37"/>
        <v>229.20000000000002</v>
      </c>
      <c r="K547">
        <v>1300</v>
      </c>
      <c r="N547" t="s">
        <v>54</v>
      </c>
      <c r="Q547">
        <v>4</v>
      </c>
      <c r="U547">
        <v>3</v>
      </c>
      <c r="W547" t="s">
        <v>999</v>
      </c>
      <c r="X547" t="s">
        <v>40</v>
      </c>
      <c r="Y547" t="s">
        <v>40</v>
      </c>
      <c r="AA547">
        <f t="shared" si="38"/>
        <v>22.92</v>
      </c>
      <c r="AB547" s="26">
        <v>72</v>
      </c>
      <c r="AC547">
        <f t="shared" si="36"/>
        <v>0.40715040790523715</v>
      </c>
      <c r="AI547" t="e">
        <f>IF(Y547="Yes",NA(),#REF!)</f>
        <v>#N/A</v>
      </c>
      <c r="AJ547" t="e">
        <f>IF(Y547="Yes",NA(),#REF!)</f>
        <v>#N/A</v>
      </c>
      <c r="AK547" t="e">
        <f>IF(Y547="Yes",NA(),#REF!)</f>
        <v>#N/A</v>
      </c>
    </row>
    <row r="548" spans="1:37" x14ac:dyDescent="0.35">
      <c r="A548" s="12">
        <v>548</v>
      </c>
      <c r="C548">
        <v>53</v>
      </c>
      <c r="E548" s="2">
        <v>8.5</v>
      </c>
      <c r="F548" s="2">
        <v>1</v>
      </c>
      <c r="G548" t="s">
        <v>670</v>
      </c>
      <c r="H548" t="s">
        <v>972</v>
      </c>
      <c r="J548" s="14">
        <f t="shared" si="37"/>
        <v>167.10000000000002</v>
      </c>
      <c r="K548">
        <v>1300</v>
      </c>
      <c r="N548" t="s">
        <v>61</v>
      </c>
      <c r="Q548" t="s">
        <v>55</v>
      </c>
      <c r="W548" t="s">
        <v>1000</v>
      </c>
      <c r="X548" t="s">
        <v>40</v>
      </c>
      <c r="Y548" t="s">
        <v>40</v>
      </c>
      <c r="AA548">
        <f t="shared" si="38"/>
        <v>16.71</v>
      </c>
      <c r="AB548">
        <v>52.5</v>
      </c>
      <c r="AC548">
        <f t="shared" si="36"/>
        <v>0.21647536878642168</v>
      </c>
      <c r="AI548" t="e">
        <f>IF(Y548="Yes",NA(),#REF!)</f>
        <v>#N/A</v>
      </c>
      <c r="AJ548" t="e">
        <f>IF(Y548="Yes",NA(),#REF!)</f>
        <v>#N/A</v>
      </c>
      <c r="AK548" t="e">
        <f>IF(Y548="Yes",NA(),#REF!)</f>
        <v>#N/A</v>
      </c>
    </row>
    <row r="549" spans="1:37" x14ac:dyDescent="0.35">
      <c r="A549" s="12">
        <v>549</v>
      </c>
      <c r="C549">
        <v>53</v>
      </c>
      <c r="E549" s="2">
        <v>9</v>
      </c>
      <c r="F549" s="2">
        <v>5</v>
      </c>
      <c r="G549" t="s">
        <v>63</v>
      </c>
      <c r="H549" t="s">
        <v>64</v>
      </c>
      <c r="J549" s="14">
        <f t="shared" si="37"/>
        <v>105</v>
      </c>
      <c r="K549">
        <v>1300</v>
      </c>
      <c r="N549" t="s">
        <v>54</v>
      </c>
      <c r="Q549">
        <v>1</v>
      </c>
      <c r="W549" t="s">
        <v>1001</v>
      </c>
      <c r="AA549">
        <f t="shared" si="38"/>
        <v>10.5</v>
      </c>
      <c r="AB549">
        <v>33</v>
      </c>
      <c r="AC549">
        <f t="shared" si="36"/>
        <v>8.5529859993982119E-2</v>
      </c>
      <c r="AI549" t="e">
        <f>IF(Y549="Yes",NA(),#REF!)</f>
        <v>#REF!</v>
      </c>
      <c r="AJ549" t="e">
        <f>IF(Y549="Yes",NA(),#REF!)</f>
        <v>#REF!</v>
      </c>
      <c r="AK549" t="e">
        <f>IF(Y549="Yes",NA(),#REF!)</f>
        <v>#REF!</v>
      </c>
    </row>
    <row r="550" spans="1:37" x14ac:dyDescent="0.35">
      <c r="A550" s="12">
        <v>550</v>
      </c>
      <c r="C550">
        <v>53</v>
      </c>
      <c r="E550" s="2">
        <v>9.5</v>
      </c>
      <c r="F550" s="2">
        <v>6</v>
      </c>
      <c r="G550" t="s">
        <v>104</v>
      </c>
      <c r="H550" t="s">
        <v>1002</v>
      </c>
      <c r="J550" s="14">
        <f t="shared" si="37"/>
        <v>121.30000000000001</v>
      </c>
      <c r="K550">
        <v>1300</v>
      </c>
      <c r="N550" t="s">
        <v>54</v>
      </c>
      <c r="Q550" t="s">
        <v>152</v>
      </c>
      <c r="W550" t="s">
        <v>1003</v>
      </c>
      <c r="X550" t="s">
        <v>40</v>
      </c>
      <c r="Y550" t="s">
        <v>40</v>
      </c>
      <c r="AA550">
        <f t="shared" si="38"/>
        <v>12.13</v>
      </c>
      <c r="AB550">
        <v>38.1</v>
      </c>
      <c r="AC550">
        <f t="shared" si="36"/>
        <v>0.11400918279693702</v>
      </c>
      <c r="AI550" t="e">
        <f>IF(Y550="Yes",NA(),#REF!)</f>
        <v>#N/A</v>
      </c>
      <c r="AJ550" t="e">
        <f>IF(Y550="Yes",NA(),#REF!)</f>
        <v>#N/A</v>
      </c>
      <c r="AK550" t="e">
        <f>IF(Y550="Yes",NA(),#REF!)</f>
        <v>#N/A</v>
      </c>
    </row>
    <row r="551" spans="1:37" x14ac:dyDescent="0.35">
      <c r="A551" s="12">
        <v>551</v>
      </c>
      <c r="C551">
        <v>52</v>
      </c>
      <c r="E551" s="2">
        <v>0.1</v>
      </c>
      <c r="F551" s="2">
        <v>2</v>
      </c>
      <c r="G551" t="s">
        <v>404</v>
      </c>
      <c r="H551" t="s">
        <v>409</v>
      </c>
      <c r="J551" s="14">
        <f t="shared" si="37"/>
        <v>154.4</v>
      </c>
      <c r="K551">
        <v>1300</v>
      </c>
      <c r="N551" t="s">
        <v>297</v>
      </c>
      <c r="Q551" t="s">
        <v>38</v>
      </c>
      <c r="U551">
        <v>3</v>
      </c>
      <c r="W551" t="s">
        <v>1004</v>
      </c>
      <c r="X551" t="s">
        <v>40</v>
      </c>
      <c r="Y551" t="s">
        <v>40</v>
      </c>
      <c r="AA551">
        <f t="shared" si="38"/>
        <v>15.44</v>
      </c>
      <c r="AB551">
        <v>48.5</v>
      </c>
      <c r="AC551">
        <f t="shared" si="36"/>
        <v>0.18474528298516477</v>
      </c>
      <c r="AI551" t="e">
        <f>IF(Y551="Yes",NA(),#REF!)</f>
        <v>#N/A</v>
      </c>
      <c r="AJ551" t="e">
        <f>IF(Y551="Yes",NA(),#REF!)</f>
        <v>#N/A</v>
      </c>
      <c r="AK551" t="e">
        <f>IF(Y551="Yes",NA(),#REF!)</f>
        <v>#N/A</v>
      </c>
    </row>
    <row r="552" spans="1:37" x14ac:dyDescent="0.35">
      <c r="A552" s="12">
        <v>552</v>
      </c>
      <c r="C552">
        <v>52</v>
      </c>
      <c r="E552" s="2">
        <v>0.5</v>
      </c>
      <c r="F552" s="2">
        <v>4</v>
      </c>
      <c r="G552" t="s">
        <v>34</v>
      </c>
      <c r="H552" t="s">
        <v>35</v>
      </c>
      <c r="J552" s="14">
        <f t="shared" si="37"/>
        <v>104.39999999999999</v>
      </c>
      <c r="K552">
        <v>1300</v>
      </c>
      <c r="N552" t="s">
        <v>37</v>
      </c>
      <c r="Q552" t="s">
        <v>134</v>
      </c>
      <c r="W552" t="s">
        <v>1005</v>
      </c>
      <c r="X552" t="s">
        <v>40</v>
      </c>
      <c r="Y552" t="s">
        <v>40</v>
      </c>
      <c r="Z552" t="s">
        <v>1006</v>
      </c>
      <c r="AA552">
        <f t="shared" si="38"/>
        <v>10.44</v>
      </c>
      <c r="AB552">
        <v>32.799999999999997</v>
      </c>
      <c r="AC552">
        <f t="shared" si="36"/>
        <v>8.4496276010951055E-2</v>
      </c>
      <c r="AI552" t="e">
        <f>IF(Y552="Yes",NA(),#REF!)</f>
        <v>#N/A</v>
      </c>
      <c r="AJ552" t="e">
        <f>IF(Y552="Yes",NA(),#REF!)</f>
        <v>#N/A</v>
      </c>
      <c r="AK552" t="e">
        <f>IF(Y552="Yes",NA(),#REF!)</f>
        <v>#N/A</v>
      </c>
    </row>
    <row r="553" spans="1:37" x14ac:dyDescent="0.35">
      <c r="A553" s="12">
        <v>553</v>
      </c>
      <c r="C553">
        <v>52</v>
      </c>
      <c r="E553" s="2">
        <v>3</v>
      </c>
      <c r="F553" s="2">
        <v>0.5</v>
      </c>
      <c r="G553" t="s">
        <v>59</v>
      </c>
      <c r="H553" t="s">
        <v>1007</v>
      </c>
      <c r="J553" s="14">
        <f t="shared" si="37"/>
        <v>171.9</v>
      </c>
      <c r="K553">
        <v>1300</v>
      </c>
      <c r="N553" t="s">
        <v>54</v>
      </c>
      <c r="Q553" t="s">
        <v>38</v>
      </c>
      <c r="W553" t="s">
        <v>1008</v>
      </c>
      <c r="X553" t="s">
        <v>40</v>
      </c>
      <c r="Y553" t="s">
        <v>40</v>
      </c>
      <c r="AA553">
        <f t="shared" si="38"/>
        <v>17.190000000000001</v>
      </c>
      <c r="AB553">
        <v>54</v>
      </c>
      <c r="AC553">
        <f t="shared" si="36"/>
        <v>0.22902210444669591</v>
      </c>
      <c r="AI553" t="e">
        <f>IF(Y553="Yes",NA(),#REF!)</f>
        <v>#N/A</v>
      </c>
      <c r="AJ553" t="e">
        <f>IF(Y553="Yes",NA(),#REF!)</f>
        <v>#N/A</v>
      </c>
      <c r="AK553" t="e">
        <f>IF(Y553="Yes",NA(),#REF!)</f>
        <v>#N/A</v>
      </c>
    </row>
    <row r="554" spans="1:37" x14ac:dyDescent="0.35">
      <c r="A554" s="12">
        <v>554</v>
      </c>
      <c r="C554">
        <v>52</v>
      </c>
      <c r="E554" s="2">
        <v>7.5</v>
      </c>
      <c r="F554" s="2">
        <v>3.5</v>
      </c>
      <c r="G554" t="s">
        <v>59</v>
      </c>
      <c r="H554" t="s">
        <v>1519</v>
      </c>
      <c r="J554" s="14">
        <f t="shared" si="37"/>
        <v>107.89999999999999</v>
      </c>
      <c r="K554">
        <v>1300</v>
      </c>
      <c r="N554" t="s">
        <v>61</v>
      </c>
      <c r="Q554">
        <v>1</v>
      </c>
      <c r="W554" t="s">
        <v>1009</v>
      </c>
      <c r="X554" t="s">
        <v>40</v>
      </c>
      <c r="Y554" t="s">
        <v>40</v>
      </c>
      <c r="AA554">
        <f t="shared" si="38"/>
        <v>10.79</v>
      </c>
      <c r="AB554">
        <v>33.9</v>
      </c>
      <c r="AC554">
        <f t="shared" si="36"/>
        <v>9.0258742335798142E-2</v>
      </c>
      <c r="AI554" t="e">
        <f>IF(Y554="Yes",NA(),#REF!)</f>
        <v>#N/A</v>
      </c>
      <c r="AJ554" t="e">
        <f>IF(Y554="Yes",NA(),#REF!)</f>
        <v>#N/A</v>
      </c>
      <c r="AK554" t="e">
        <f>IF(Y554="Yes",NA(),#REF!)</f>
        <v>#N/A</v>
      </c>
    </row>
    <row r="555" spans="1:37" x14ac:dyDescent="0.35">
      <c r="A555" s="12">
        <v>555</v>
      </c>
      <c r="C555">
        <v>52</v>
      </c>
      <c r="E555" s="2">
        <v>8</v>
      </c>
      <c r="F555" s="2">
        <v>6.5</v>
      </c>
      <c r="G555" t="s">
        <v>114</v>
      </c>
      <c r="H555" t="s">
        <v>35</v>
      </c>
      <c r="J555" s="14">
        <f t="shared" si="37"/>
        <v>265.79999999999995</v>
      </c>
      <c r="K555">
        <v>1300</v>
      </c>
      <c r="N555" t="s">
        <v>297</v>
      </c>
      <c r="Q555">
        <v>4</v>
      </c>
      <c r="W555" t="s">
        <v>1010</v>
      </c>
      <c r="X555" t="s">
        <v>40</v>
      </c>
      <c r="Y555" t="s">
        <v>40</v>
      </c>
      <c r="Z555" t="s">
        <v>784</v>
      </c>
      <c r="AA555">
        <f t="shared" si="38"/>
        <v>26.58</v>
      </c>
      <c r="AB555">
        <v>83.5</v>
      </c>
      <c r="AC555">
        <f t="shared" si="36"/>
        <v>0.54759923447478598</v>
      </c>
      <c r="AI555" t="e">
        <f>IF(Y555="Yes",NA(),#REF!)</f>
        <v>#N/A</v>
      </c>
      <c r="AJ555" t="e">
        <f>IF(Y555="Yes",NA(),#REF!)</f>
        <v>#N/A</v>
      </c>
      <c r="AK555" t="e">
        <f>IF(Y555="Yes",NA(),#REF!)</f>
        <v>#N/A</v>
      </c>
    </row>
    <row r="556" spans="1:37" x14ac:dyDescent="0.35">
      <c r="A556" s="12">
        <v>556</v>
      </c>
      <c r="C556">
        <v>52</v>
      </c>
      <c r="E556" s="2">
        <v>6.5</v>
      </c>
      <c r="F556" s="2">
        <v>6</v>
      </c>
      <c r="G556" t="s">
        <v>47</v>
      </c>
      <c r="H556" t="s">
        <v>395</v>
      </c>
      <c r="J556" s="14">
        <f t="shared" si="37"/>
        <v>208.5</v>
      </c>
      <c r="K556">
        <v>1300</v>
      </c>
      <c r="N556" t="s">
        <v>54</v>
      </c>
      <c r="Q556" t="s">
        <v>38</v>
      </c>
      <c r="W556" t="s">
        <v>1011</v>
      </c>
      <c r="X556" t="s">
        <v>40</v>
      </c>
      <c r="Y556" t="s">
        <v>40</v>
      </c>
      <c r="AA556">
        <f t="shared" si="38"/>
        <v>20.85</v>
      </c>
      <c r="AB556" s="26">
        <v>65.5</v>
      </c>
      <c r="AC556">
        <f t="shared" si="36"/>
        <v>0.33695544705159025</v>
      </c>
      <c r="AI556" t="e">
        <f>IF(Y556="Yes",NA(),#REF!)</f>
        <v>#N/A</v>
      </c>
      <c r="AJ556" t="e">
        <f>IF(Y556="Yes",NA(),#REF!)</f>
        <v>#N/A</v>
      </c>
      <c r="AK556" t="e">
        <f>IF(Y556="Yes",NA(),#REF!)</f>
        <v>#N/A</v>
      </c>
    </row>
    <row r="557" spans="1:37" x14ac:dyDescent="0.35">
      <c r="A557" s="12">
        <v>557</v>
      </c>
      <c r="C557">
        <v>52</v>
      </c>
      <c r="E557" s="2">
        <v>7</v>
      </c>
      <c r="F557" s="2">
        <v>9.5</v>
      </c>
      <c r="G557" t="s">
        <v>66</v>
      </c>
      <c r="H557" t="s">
        <v>67</v>
      </c>
      <c r="J557" s="14">
        <f t="shared" si="37"/>
        <v>165.5</v>
      </c>
      <c r="K557">
        <v>1300</v>
      </c>
      <c r="N557" t="s">
        <v>61</v>
      </c>
      <c r="Q557" t="s">
        <v>55</v>
      </c>
      <c r="U557">
        <v>4</v>
      </c>
      <c r="W557" t="s">
        <v>1012</v>
      </c>
      <c r="X557" t="s">
        <v>40</v>
      </c>
      <c r="Y557" t="s">
        <v>40</v>
      </c>
      <c r="AA557">
        <f t="shared" si="38"/>
        <v>16.55</v>
      </c>
      <c r="AB557" s="26">
        <v>52</v>
      </c>
      <c r="AC557">
        <f t="shared" si="36"/>
        <v>0.21237166338267002</v>
      </c>
      <c r="AI557" t="e">
        <f>IF(Y557="Yes",NA(),#REF!)</f>
        <v>#N/A</v>
      </c>
      <c r="AJ557" t="e">
        <f>IF(Y557="Yes",NA(),#REF!)</f>
        <v>#N/A</v>
      </c>
      <c r="AK557" t="e">
        <f>IF(Y557="Yes",NA(),#REF!)</f>
        <v>#N/A</v>
      </c>
    </row>
    <row r="558" spans="1:37" x14ac:dyDescent="0.35">
      <c r="A558" s="12">
        <v>558</v>
      </c>
      <c r="C558">
        <v>52</v>
      </c>
      <c r="E558" s="2">
        <v>3.5</v>
      </c>
      <c r="F558" s="2">
        <v>8.5</v>
      </c>
      <c r="G558" t="s">
        <v>59</v>
      </c>
      <c r="H558" t="s">
        <v>863</v>
      </c>
      <c r="J558" s="14">
        <f t="shared" si="37"/>
        <v>117.8</v>
      </c>
      <c r="K558">
        <v>1300</v>
      </c>
      <c r="N558" t="s">
        <v>842</v>
      </c>
      <c r="Q558">
        <v>1</v>
      </c>
      <c r="U558">
        <v>2</v>
      </c>
      <c r="W558" t="s">
        <v>1013</v>
      </c>
      <c r="X558" t="s">
        <v>40</v>
      </c>
      <c r="Y558" t="s">
        <v>40</v>
      </c>
      <c r="Z558" t="s">
        <v>1014</v>
      </c>
      <c r="AA558">
        <f t="shared" si="38"/>
        <v>11.78</v>
      </c>
      <c r="AB558">
        <v>37</v>
      </c>
      <c r="AC558">
        <f t="shared" si="36"/>
        <v>0.10752100856911068</v>
      </c>
      <c r="AI558" t="e">
        <f>IF(Y558="Yes",NA(),#REF!)</f>
        <v>#N/A</v>
      </c>
      <c r="AJ558" t="e">
        <f>IF(Y558="Yes",NA(),#REF!)</f>
        <v>#N/A</v>
      </c>
      <c r="AK558" t="e">
        <f>IF(Y558="Yes",NA(),#REF!)</f>
        <v>#N/A</v>
      </c>
    </row>
    <row r="559" spans="1:37" x14ac:dyDescent="0.35">
      <c r="A559" s="12">
        <v>559</v>
      </c>
      <c r="C559">
        <v>52</v>
      </c>
      <c r="E559" s="2">
        <v>4</v>
      </c>
      <c r="F559" s="2">
        <v>7</v>
      </c>
      <c r="G559" t="s">
        <v>145</v>
      </c>
      <c r="H559" t="s">
        <v>146</v>
      </c>
      <c r="J559" s="14">
        <f t="shared" si="37"/>
        <v>159.19999999999999</v>
      </c>
      <c r="K559">
        <v>1300</v>
      </c>
      <c r="N559" t="s">
        <v>54</v>
      </c>
      <c r="Q559" t="s">
        <v>55</v>
      </c>
      <c r="W559" t="s">
        <v>1015</v>
      </c>
      <c r="X559" t="s">
        <v>40</v>
      </c>
      <c r="Y559" t="s">
        <v>40</v>
      </c>
      <c r="Z559" t="s">
        <v>1016</v>
      </c>
      <c r="AA559">
        <f t="shared" si="38"/>
        <v>15.92</v>
      </c>
      <c r="AB559">
        <v>50</v>
      </c>
      <c r="AC559">
        <f t="shared" si="36"/>
        <v>0.19634954084936207</v>
      </c>
      <c r="AI559" t="e">
        <f>IF(Y559="Yes",NA(),#REF!)</f>
        <v>#N/A</v>
      </c>
      <c r="AJ559" t="e">
        <f>IF(Y559="Yes",NA(),#REF!)</f>
        <v>#N/A</v>
      </c>
      <c r="AK559" t="e">
        <f>IF(Y559="Yes",NA(),#REF!)</f>
        <v>#N/A</v>
      </c>
    </row>
    <row r="560" spans="1:37" x14ac:dyDescent="0.35">
      <c r="A560" s="12">
        <v>560</v>
      </c>
      <c r="C560">
        <v>51</v>
      </c>
      <c r="E560" s="2">
        <v>0.7</v>
      </c>
      <c r="F560" s="2">
        <v>0.1</v>
      </c>
      <c r="G560" t="s">
        <v>34</v>
      </c>
      <c r="H560" t="s">
        <v>35</v>
      </c>
      <c r="J560" s="14">
        <f t="shared" si="37"/>
        <v>127.30000000000001</v>
      </c>
      <c r="K560">
        <v>1300</v>
      </c>
      <c r="N560" t="s">
        <v>37</v>
      </c>
      <c r="Q560" t="s">
        <v>38</v>
      </c>
      <c r="W560" t="s">
        <v>1017</v>
      </c>
      <c r="Y560" t="s">
        <v>40</v>
      </c>
      <c r="Z560" t="s">
        <v>1018</v>
      </c>
      <c r="AA560">
        <f t="shared" si="38"/>
        <v>12.73</v>
      </c>
      <c r="AB560">
        <v>40</v>
      </c>
      <c r="AC560">
        <f t="shared" si="36"/>
        <v>0.12566370614359174</v>
      </c>
      <c r="AI560" t="e">
        <f>IF(Y560="Yes",NA(),#REF!)</f>
        <v>#N/A</v>
      </c>
      <c r="AJ560" t="e">
        <f>IF(Y560="Yes",NA(),#REF!)</f>
        <v>#N/A</v>
      </c>
      <c r="AK560" t="e">
        <f>IF(Y560="Yes",NA(),#REF!)</f>
        <v>#N/A</v>
      </c>
    </row>
    <row r="561" spans="1:37" x14ac:dyDescent="0.35">
      <c r="A561" s="12">
        <v>561</v>
      </c>
      <c r="C561">
        <v>51</v>
      </c>
      <c r="E561" s="2">
        <v>1.5</v>
      </c>
      <c r="F561" s="2">
        <v>0.5</v>
      </c>
      <c r="G561" t="s">
        <v>34</v>
      </c>
      <c r="H561" t="s">
        <v>35</v>
      </c>
      <c r="J561" s="14">
        <f t="shared" si="37"/>
        <v>154.4</v>
      </c>
      <c r="K561">
        <v>1300</v>
      </c>
      <c r="N561" t="s">
        <v>218</v>
      </c>
      <c r="Q561" t="s">
        <v>38</v>
      </c>
      <c r="W561" t="s">
        <v>1019</v>
      </c>
      <c r="Y561" t="s">
        <v>40</v>
      </c>
      <c r="AA561">
        <f t="shared" si="38"/>
        <v>15.44</v>
      </c>
      <c r="AB561">
        <v>48.5</v>
      </c>
      <c r="AC561">
        <f t="shared" si="36"/>
        <v>0.18474528298516477</v>
      </c>
      <c r="AI561" t="e">
        <f>IF(Y561="Yes",NA(),#REF!)</f>
        <v>#N/A</v>
      </c>
      <c r="AJ561" t="e">
        <f>IF(Y561="Yes",NA(),#REF!)</f>
        <v>#N/A</v>
      </c>
      <c r="AK561" t="e">
        <f>IF(Y561="Yes",NA(),#REF!)</f>
        <v>#N/A</v>
      </c>
    </row>
    <row r="562" spans="1:37" x14ac:dyDescent="0.35">
      <c r="A562" s="12">
        <v>562</v>
      </c>
      <c r="C562">
        <v>51</v>
      </c>
      <c r="E562" s="2">
        <v>8</v>
      </c>
      <c r="F562" s="2">
        <v>1.8</v>
      </c>
      <c r="G562" t="s">
        <v>66</v>
      </c>
      <c r="H562" t="s">
        <v>155</v>
      </c>
      <c r="J562" s="14">
        <f t="shared" si="37"/>
        <v>114.60000000000001</v>
      </c>
      <c r="K562">
        <v>1300</v>
      </c>
      <c r="N562" t="s">
        <v>54</v>
      </c>
      <c r="Q562" t="s">
        <v>152</v>
      </c>
      <c r="R562">
        <v>1</v>
      </c>
      <c r="W562" t="s">
        <v>1020</v>
      </c>
      <c r="X562" t="s">
        <v>40</v>
      </c>
      <c r="Y562" t="s">
        <v>40</v>
      </c>
      <c r="Z562" t="s">
        <v>944</v>
      </c>
      <c r="AA562">
        <f t="shared" si="38"/>
        <v>11.46</v>
      </c>
      <c r="AB562">
        <v>36</v>
      </c>
      <c r="AC562">
        <f t="shared" si="36"/>
        <v>0.10178760197630929</v>
      </c>
      <c r="AI562" t="e">
        <f>IF(Y562="Yes",NA(),#REF!)</f>
        <v>#N/A</v>
      </c>
      <c r="AJ562" t="e">
        <f>IF(Y562="Yes",NA(),#REF!)</f>
        <v>#N/A</v>
      </c>
      <c r="AK562" t="e">
        <f>IF(Y562="Yes",NA(),#REF!)</f>
        <v>#N/A</v>
      </c>
    </row>
    <row r="563" spans="1:37" x14ac:dyDescent="0.35">
      <c r="A563" s="12">
        <v>563</v>
      </c>
      <c r="C563">
        <v>51</v>
      </c>
      <c r="E563" s="2">
        <v>8.5</v>
      </c>
      <c r="F563" s="2">
        <v>1</v>
      </c>
      <c r="G563" t="s">
        <v>47</v>
      </c>
      <c r="H563" t="s">
        <v>53</v>
      </c>
      <c r="J563" s="14">
        <f t="shared" si="37"/>
        <v>113</v>
      </c>
      <c r="K563">
        <v>1300</v>
      </c>
      <c r="N563" t="s">
        <v>54</v>
      </c>
      <c r="Q563" t="s">
        <v>934</v>
      </c>
      <c r="U563">
        <v>2</v>
      </c>
      <c r="W563" t="s">
        <v>1021</v>
      </c>
      <c r="X563" t="s">
        <v>40</v>
      </c>
      <c r="Y563" t="s">
        <v>40</v>
      </c>
      <c r="AA563">
        <f t="shared" si="38"/>
        <v>11.3</v>
      </c>
      <c r="AB563">
        <v>35.5</v>
      </c>
      <c r="AC563">
        <f t="shared" si="36"/>
        <v>9.897980354216343E-2</v>
      </c>
      <c r="AD563" s="28"/>
      <c r="AE563" s="28"/>
      <c r="AF563" s="28"/>
      <c r="AG563" s="28"/>
      <c r="AH563" s="28"/>
      <c r="AI563" s="28" t="e">
        <f>IF(Y563="Yes",NA(),#REF!)</f>
        <v>#N/A</v>
      </c>
      <c r="AJ563" s="28" t="e">
        <f>IF(Y563="Yes",NA(),#REF!)</f>
        <v>#N/A</v>
      </c>
      <c r="AK563" s="28" t="e">
        <f>IF(Y563="Yes",NA(),#REF!)</f>
        <v>#N/A</v>
      </c>
    </row>
    <row r="564" spans="1:37" x14ac:dyDescent="0.35">
      <c r="A564" s="12">
        <v>564</v>
      </c>
      <c r="C564">
        <v>51</v>
      </c>
      <c r="E564" s="2">
        <v>9.5</v>
      </c>
      <c r="F564" s="2">
        <v>2</v>
      </c>
      <c r="G564" t="s">
        <v>66</v>
      </c>
      <c r="H564" t="s">
        <v>472</v>
      </c>
      <c r="J564" s="14">
        <f t="shared" si="37"/>
        <v>202.10000000000002</v>
      </c>
      <c r="K564">
        <v>1300</v>
      </c>
      <c r="N564" t="s">
        <v>54</v>
      </c>
      <c r="Q564">
        <v>4</v>
      </c>
      <c r="U564">
        <v>2</v>
      </c>
      <c r="W564" t="s">
        <v>1022</v>
      </c>
      <c r="X564" t="s">
        <v>40</v>
      </c>
      <c r="Y564" t="s">
        <v>40</v>
      </c>
      <c r="AA564">
        <f t="shared" si="38"/>
        <v>20.21</v>
      </c>
      <c r="AB564">
        <v>63.5</v>
      </c>
      <c r="AC564">
        <f t="shared" si="36"/>
        <v>0.31669217443593611</v>
      </c>
      <c r="AI564" t="e">
        <f>IF(Y564="Yes",NA(),#REF!)</f>
        <v>#N/A</v>
      </c>
      <c r="AJ564" t="e">
        <f>IF(Y564="Yes",NA(),#REF!)</f>
        <v>#N/A</v>
      </c>
      <c r="AK564" t="e">
        <f>IF(Y564="Yes",NA(),#REF!)</f>
        <v>#N/A</v>
      </c>
    </row>
    <row r="565" spans="1:37" x14ac:dyDescent="0.35">
      <c r="A565" s="12">
        <v>565</v>
      </c>
      <c r="C565">
        <v>51</v>
      </c>
      <c r="E565" s="2">
        <v>9</v>
      </c>
      <c r="F565" s="2">
        <v>3.5</v>
      </c>
      <c r="G565" t="s">
        <v>114</v>
      </c>
      <c r="H565" t="s">
        <v>35</v>
      </c>
      <c r="J565" s="14">
        <f t="shared" si="37"/>
        <v>214.89999999999998</v>
      </c>
      <c r="K565">
        <v>1300</v>
      </c>
      <c r="N565" t="s">
        <v>61</v>
      </c>
      <c r="Q565" t="s">
        <v>55</v>
      </c>
      <c r="W565" t="s">
        <v>1023</v>
      </c>
      <c r="Y565" t="s">
        <v>40</v>
      </c>
      <c r="Z565" t="s">
        <v>1024</v>
      </c>
      <c r="AA565">
        <f t="shared" si="38"/>
        <v>21.49</v>
      </c>
      <c r="AB565">
        <v>67.5</v>
      </c>
      <c r="AC565">
        <f t="shared" si="36"/>
        <v>0.35784703819796237</v>
      </c>
      <c r="AI565" t="e">
        <f>IF(Y565="Yes",NA(),#REF!)</f>
        <v>#N/A</v>
      </c>
      <c r="AJ565" t="e">
        <f>IF(Y565="Yes",NA(),#REF!)</f>
        <v>#N/A</v>
      </c>
      <c r="AK565" t="e">
        <f>IF(Y565="Yes",NA(),#REF!)</f>
        <v>#N/A</v>
      </c>
    </row>
    <row r="566" spans="1:37" x14ac:dyDescent="0.35">
      <c r="A566" s="12">
        <v>566</v>
      </c>
      <c r="C566">
        <v>51</v>
      </c>
      <c r="E566" s="2">
        <v>9.3000000000000007</v>
      </c>
      <c r="F566" s="2">
        <v>8.5</v>
      </c>
      <c r="G566" t="s">
        <v>126</v>
      </c>
      <c r="H566" t="s">
        <v>127</v>
      </c>
      <c r="J566" s="14">
        <f t="shared" si="37"/>
        <v>152.79999999999998</v>
      </c>
      <c r="K566">
        <v>1300</v>
      </c>
      <c r="N566" t="s">
        <v>54</v>
      </c>
      <c r="Q566" t="s">
        <v>38</v>
      </c>
      <c r="U566">
        <v>4</v>
      </c>
      <c r="W566" t="s">
        <v>1025</v>
      </c>
      <c r="X566" t="s">
        <v>40</v>
      </c>
      <c r="Y566" t="s">
        <v>40</v>
      </c>
      <c r="Z566" t="s">
        <v>1026</v>
      </c>
      <c r="AA566">
        <f t="shared" si="38"/>
        <v>15.28</v>
      </c>
      <c r="AB566">
        <v>48</v>
      </c>
      <c r="AC566">
        <f t="shared" ref="AC566:AC629" si="39">PI()*(AB566/2)*(AB566/2)/10000</f>
        <v>0.18095573684677208</v>
      </c>
      <c r="AI566" t="e">
        <f>IF(Y566="Yes",NA(),#REF!)</f>
        <v>#N/A</v>
      </c>
      <c r="AJ566" t="e">
        <f>IF(Y566="Yes",NA(),#REF!)</f>
        <v>#N/A</v>
      </c>
      <c r="AK566" t="e">
        <f>IF(Y566="Yes",NA(),#REF!)</f>
        <v>#N/A</v>
      </c>
    </row>
    <row r="567" spans="1:37" x14ac:dyDescent="0.35">
      <c r="A567" s="12">
        <v>567</v>
      </c>
      <c r="C567">
        <v>51</v>
      </c>
      <c r="E567" s="23">
        <v>7</v>
      </c>
      <c r="F567" s="23">
        <v>7</v>
      </c>
      <c r="G567" t="s">
        <v>231</v>
      </c>
      <c r="H567" t="s">
        <v>232</v>
      </c>
      <c r="J567" s="14">
        <f t="shared" si="37"/>
        <v>227.3</v>
      </c>
      <c r="K567">
        <v>1300</v>
      </c>
      <c r="N567" t="s">
        <v>54</v>
      </c>
      <c r="Q567" t="s">
        <v>152</v>
      </c>
      <c r="U567">
        <v>3</v>
      </c>
      <c r="W567" t="s">
        <v>1027</v>
      </c>
      <c r="X567" t="s">
        <v>40</v>
      </c>
      <c r="Y567" t="s">
        <v>40</v>
      </c>
      <c r="Z567" t="s">
        <v>1028</v>
      </c>
      <c r="AA567">
        <f t="shared" si="38"/>
        <v>22.73</v>
      </c>
      <c r="AB567" s="26">
        <v>71.400000000000006</v>
      </c>
      <c r="AC567">
        <f t="shared" si="39"/>
        <v>0.40039284210736559</v>
      </c>
      <c r="AI567" t="e">
        <f>IF(Y567="Yes",NA(),#REF!)</f>
        <v>#N/A</v>
      </c>
      <c r="AJ567" t="e">
        <f>IF(Y567="Yes",NA(),#REF!)</f>
        <v>#N/A</v>
      </c>
      <c r="AK567" t="e">
        <f>IF(Y567="Yes",NA(),#REF!)</f>
        <v>#N/A</v>
      </c>
    </row>
    <row r="568" spans="1:37" x14ac:dyDescent="0.35">
      <c r="A568" s="12">
        <v>568</v>
      </c>
      <c r="C568">
        <v>51</v>
      </c>
      <c r="E568" s="2">
        <v>7</v>
      </c>
      <c r="F568" s="2">
        <v>8.5</v>
      </c>
      <c r="G568" t="s">
        <v>104</v>
      </c>
      <c r="H568" t="s">
        <v>437</v>
      </c>
      <c r="J568" s="14">
        <f t="shared" ref="J568:J631" si="40">ROUND(AB568/PI(), 2)*10</f>
        <v>168.1</v>
      </c>
      <c r="K568">
        <v>1300</v>
      </c>
      <c r="N568" t="s">
        <v>1029</v>
      </c>
      <c r="Q568" t="s">
        <v>152</v>
      </c>
      <c r="U568">
        <v>3</v>
      </c>
      <c r="W568" t="s">
        <v>1030</v>
      </c>
      <c r="X568" t="s">
        <v>40</v>
      </c>
      <c r="Y568" t="s">
        <v>40</v>
      </c>
      <c r="AA568">
        <f t="shared" si="38"/>
        <v>16.809999999999999</v>
      </c>
      <c r="AB568">
        <v>52.8</v>
      </c>
      <c r="AC568">
        <f t="shared" si="39"/>
        <v>0.21895644158459424</v>
      </c>
      <c r="AI568" t="e">
        <f>IF(Y568="Yes",NA(),#REF!)</f>
        <v>#N/A</v>
      </c>
      <c r="AJ568" t="e">
        <f>IF(Y568="Yes",NA(),#REF!)</f>
        <v>#N/A</v>
      </c>
      <c r="AK568" t="e">
        <f>IF(Y568="Yes",NA(),#REF!)</f>
        <v>#N/A</v>
      </c>
    </row>
    <row r="569" spans="1:37" x14ac:dyDescent="0.35">
      <c r="A569" s="12">
        <v>569</v>
      </c>
      <c r="C569">
        <v>51</v>
      </c>
      <c r="E569" s="2">
        <v>2</v>
      </c>
      <c r="F569" s="2">
        <v>9.5</v>
      </c>
      <c r="G569" t="s">
        <v>66</v>
      </c>
      <c r="H569" t="s">
        <v>237</v>
      </c>
      <c r="J569" s="14">
        <f t="shared" si="40"/>
        <v>269.89999999999998</v>
      </c>
      <c r="K569">
        <v>1300</v>
      </c>
      <c r="N569" t="s">
        <v>297</v>
      </c>
      <c r="Q569">
        <v>5</v>
      </c>
      <c r="U569">
        <v>3</v>
      </c>
      <c r="W569" t="s">
        <v>1031</v>
      </c>
      <c r="X569" t="s">
        <v>40</v>
      </c>
      <c r="Y569" t="s">
        <v>40</v>
      </c>
      <c r="AA569">
        <f t="shared" si="38"/>
        <v>26.99</v>
      </c>
      <c r="AB569">
        <v>84.8</v>
      </c>
      <c r="AC569">
        <f t="shared" si="39"/>
        <v>0.56478296089175861</v>
      </c>
      <c r="AI569" t="e">
        <f>IF(Y569="Yes",NA(),#REF!)</f>
        <v>#N/A</v>
      </c>
      <c r="AJ569" t="e">
        <f>IF(Y569="Yes",NA(),#REF!)</f>
        <v>#N/A</v>
      </c>
      <c r="AK569" t="e">
        <f>IF(Y569="Yes",NA(),#REF!)</f>
        <v>#N/A</v>
      </c>
    </row>
    <row r="570" spans="1:37" x14ac:dyDescent="0.35">
      <c r="A570" s="12">
        <v>570</v>
      </c>
      <c r="C570">
        <v>51</v>
      </c>
      <c r="E570" s="2">
        <v>0.1</v>
      </c>
      <c r="F570" s="2">
        <v>8</v>
      </c>
      <c r="G570" t="s">
        <v>34</v>
      </c>
      <c r="H570" t="s">
        <v>35</v>
      </c>
      <c r="J570" s="14">
        <f t="shared" si="40"/>
        <v>280.10000000000002</v>
      </c>
      <c r="K570">
        <v>1300</v>
      </c>
      <c r="N570" t="s">
        <v>297</v>
      </c>
      <c r="Q570">
        <v>4</v>
      </c>
      <c r="U570">
        <v>3</v>
      </c>
      <c r="W570" t="s">
        <v>1032</v>
      </c>
      <c r="X570" t="s">
        <v>40</v>
      </c>
      <c r="Y570" t="s">
        <v>40</v>
      </c>
      <c r="Z570" t="s">
        <v>944</v>
      </c>
      <c r="AA570">
        <f t="shared" si="38"/>
        <v>28.01</v>
      </c>
      <c r="AB570">
        <v>88</v>
      </c>
      <c r="AC570">
        <f t="shared" si="39"/>
        <v>0.60821233773498384</v>
      </c>
      <c r="AI570" t="e">
        <f>IF(Y570="Yes",NA(),#REF!)</f>
        <v>#N/A</v>
      </c>
      <c r="AJ570" t="e">
        <f>IF(Y570="Yes",NA(),#REF!)</f>
        <v>#N/A</v>
      </c>
      <c r="AK570" t="e">
        <f>IF(Y570="Yes",NA(),#REF!)</f>
        <v>#N/A</v>
      </c>
    </row>
    <row r="571" spans="1:37" x14ac:dyDescent="0.35">
      <c r="A571" s="12">
        <v>571</v>
      </c>
      <c r="C571">
        <v>51</v>
      </c>
      <c r="E571" s="2">
        <v>0.5</v>
      </c>
      <c r="F571" s="2">
        <v>5.5</v>
      </c>
      <c r="G571" t="s">
        <v>251</v>
      </c>
      <c r="H571" t="s">
        <v>35</v>
      </c>
      <c r="J571" s="14">
        <f t="shared" si="40"/>
        <v>143.19999999999999</v>
      </c>
      <c r="K571">
        <v>1300</v>
      </c>
      <c r="N571" t="s">
        <v>54</v>
      </c>
      <c r="Q571" t="s">
        <v>55</v>
      </c>
      <c r="U571">
        <v>3</v>
      </c>
      <c r="W571" t="s">
        <v>1033</v>
      </c>
      <c r="X571" t="s">
        <v>40</v>
      </c>
      <c r="Y571" t="s">
        <v>40</v>
      </c>
      <c r="AA571">
        <f t="shared" si="38"/>
        <v>14.32</v>
      </c>
      <c r="AB571">
        <v>45</v>
      </c>
      <c r="AC571">
        <f t="shared" si="39"/>
        <v>0.15904312808798329</v>
      </c>
      <c r="AI571" t="e">
        <f>IF(Y571="Yes",NA(),#REF!)</f>
        <v>#N/A</v>
      </c>
      <c r="AJ571" t="e">
        <f>IF(Y571="Yes",NA(),#REF!)</f>
        <v>#N/A</v>
      </c>
      <c r="AK571" t="e">
        <f>IF(Y571="Yes",NA(),#REF!)</f>
        <v>#N/A</v>
      </c>
    </row>
    <row r="572" spans="1:37" x14ac:dyDescent="0.35">
      <c r="A572" s="12">
        <v>572</v>
      </c>
      <c r="C572">
        <v>51</v>
      </c>
      <c r="E572" s="2">
        <v>4</v>
      </c>
      <c r="F572" s="2">
        <v>5.5</v>
      </c>
      <c r="G572" t="s">
        <v>42</v>
      </c>
      <c r="H572" t="s">
        <v>116</v>
      </c>
      <c r="J572" s="14">
        <f t="shared" si="40"/>
        <v>244.5</v>
      </c>
      <c r="K572">
        <v>1300</v>
      </c>
      <c r="N572" t="s">
        <v>54</v>
      </c>
      <c r="Q572">
        <v>4</v>
      </c>
      <c r="W572" t="s">
        <v>1034</v>
      </c>
      <c r="X572" t="s">
        <v>40</v>
      </c>
      <c r="Y572" t="s">
        <v>40</v>
      </c>
      <c r="AA572">
        <f t="shared" si="38"/>
        <v>24.45</v>
      </c>
      <c r="AB572">
        <v>76.8</v>
      </c>
      <c r="AC572">
        <f t="shared" si="39"/>
        <v>0.46324668632773658</v>
      </c>
      <c r="AI572" t="e">
        <f>IF(Y572="Yes",NA(),#REF!)</f>
        <v>#N/A</v>
      </c>
      <c r="AJ572" t="e">
        <f>IF(Y572="Yes",NA(),#REF!)</f>
        <v>#N/A</v>
      </c>
      <c r="AK572" t="e">
        <f>IF(Y572="Yes",NA(),#REF!)</f>
        <v>#N/A</v>
      </c>
    </row>
    <row r="573" spans="1:37" x14ac:dyDescent="0.35">
      <c r="A573" s="12">
        <v>573</v>
      </c>
      <c r="C573">
        <v>70</v>
      </c>
      <c r="E573" s="2">
        <v>9</v>
      </c>
      <c r="F573" s="2">
        <v>7.5</v>
      </c>
      <c r="G573" t="s">
        <v>114</v>
      </c>
      <c r="H573" t="s">
        <v>35</v>
      </c>
      <c r="J573" s="14">
        <f t="shared" si="40"/>
        <v>156</v>
      </c>
      <c r="K573">
        <v>1300</v>
      </c>
      <c r="N573" t="s">
        <v>1035</v>
      </c>
      <c r="Q573" t="s">
        <v>38</v>
      </c>
      <c r="W573" t="s">
        <v>1036</v>
      </c>
      <c r="X573" t="s">
        <v>40</v>
      </c>
      <c r="Y573" t="s">
        <v>40</v>
      </c>
      <c r="Z573" t="s">
        <v>1037</v>
      </c>
      <c r="AA573">
        <f t="shared" si="38"/>
        <v>15.6</v>
      </c>
      <c r="AB573">
        <v>49</v>
      </c>
      <c r="AC573">
        <f t="shared" si="39"/>
        <v>0.18857409903172731</v>
      </c>
      <c r="AI573" t="e">
        <f>IF(Y573="Yes",NA(),#REF!)</f>
        <v>#N/A</v>
      </c>
      <c r="AJ573" t="e">
        <f>IF(Y573="Yes",NA(),#REF!)</f>
        <v>#N/A</v>
      </c>
      <c r="AK573" t="e">
        <f>IF(Y573="Yes",NA(),#REF!)</f>
        <v>#N/A</v>
      </c>
    </row>
    <row r="574" spans="1:37" x14ac:dyDescent="0.35">
      <c r="A574" s="12">
        <v>574</v>
      </c>
      <c r="C574">
        <v>70</v>
      </c>
      <c r="E574" s="2">
        <v>8.5</v>
      </c>
      <c r="F574" s="2">
        <v>9</v>
      </c>
      <c r="G574" t="s">
        <v>114</v>
      </c>
      <c r="H574" t="s">
        <v>35</v>
      </c>
      <c r="J574" s="14">
        <f t="shared" si="40"/>
        <v>191.29999999999998</v>
      </c>
      <c r="K574">
        <v>1300</v>
      </c>
      <c r="N574" t="s">
        <v>54</v>
      </c>
      <c r="Q574">
        <v>5</v>
      </c>
      <c r="U574">
        <v>3</v>
      </c>
      <c r="W574" t="s">
        <v>1038</v>
      </c>
      <c r="X574" t="s">
        <v>40</v>
      </c>
      <c r="Y574" t="s">
        <v>40</v>
      </c>
      <c r="AA574">
        <f t="shared" si="38"/>
        <v>19.13</v>
      </c>
      <c r="AB574">
        <v>60.1</v>
      </c>
      <c r="AC574">
        <f t="shared" si="39"/>
        <v>0.28368660201732171</v>
      </c>
      <c r="AI574" t="e">
        <f>IF(Y574="Yes",NA(),#REF!)</f>
        <v>#N/A</v>
      </c>
      <c r="AJ574" t="e">
        <f>IF(Y574="Yes",NA(),#REF!)</f>
        <v>#N/A</v>
      </c>
      <c r="AK574" t="e">
        <f>IF(Y574="Yes",NA(),#REF!)</f>
        <v>#N/A</v>
      </c>
    </row>
    <row r="575" spans="1:37" x14ac:dyDescent="0.35">
      <c r="A575" s="12">
        <v>575</v>
      </c>
      <c r="C575">
        <v>70</v>
      </c>
      <c r="E575" s="2">
        <v>5</v>
      </c>
      <c r="F575" s="2">
        <v>7</v>
      </c>
      <c r="G575" t="s">
        <v>76</v>
      </c>
      <c r="H575" t="s">
        <v>77</v>
      </c>
      <c r="J575" s="14">
        <f t="shared" si="40"/>
        <v>105</v>
      </c>
      <c r="K575">
        <v>1300</v>
      </c>
      <c r="N575" t="s">
        <v>54</v>
      </c>
      <c r="Q575" t="s">
        <v>38</v>
      </c>
      <c r="U575">
        <v>2</v>
      </c>
      <c r="W575" t="s">
        <v>1039</v>
      </c>
      <c r="X575" t="s">
        <v>40</v>
      </c>
      <c r="Y575" t="s">
        <v>40</v>
      </c>
      <c r="AA575">
        <f t="shared" si="38"/>
        <v>10.5</v>
      </c>
      <c r="AB575">
        <v>33</v>
      </c>
      <c r="AC575">
        <f t="shared" si="39"/>
        <v>8.5529859993982119E-2</v>
      </c>
      <c r="AI575" t="e">
        <f>IF(Y575="Yes",NA(),#REF!)</f>
        <v>#N/A</v>
      </c>
      <c r="AJ575" t="e">
        <f>IF(Y575="Yes",NA(),#REF!)</f>
        <v>#N/A</v>
      </c>
      <c r="AK575" t="e">
        <f>IF(Y575="Yes",NA(),#REF!)</f>
        <v>#N/A</v>
      </c>
    </row>
    <row r="576" spans="1:37" x14ac:dyDescent="0.35">
      <c r="A576" s="12">
        <v>576</v>
      </c>
      <c r="C576">
        <v>70</v>
      </c>
      <c r="E576" s="2">
        <v>4</v>
      </c>
      <c r="F576" s="2">
        <v>7</v>
      </c>
      <c r="G576" t="s">
        <v>47</v>
      </c>
      <c r="H576" t="s">
        <v>53</v>
      </c>
      <c r="J576" s="14">
        <f t="shared" si="40"/>
        <v>133.69999999999999</v>
      </c>
      <c r="K576">
        <v>1300</v>
      </c>
      <c r="N576" t="s">
        <v>54</v>
      </c>
      <c r="Q576" t="s">
        <v>38</v>
      </c>
      <c r="U576">
        <v>2</v>
      </c>
      <c r="W576" t="s">
        <v>1040</v>
      </c>
      <c r="X576" t="s">
        <v>40</v>
      </c>
      <c r="Y576" t="s">
        <v>40</v>
      </c>
      <c r="AA576">
        <f t="shared" si="38"/>
        <v>13.37</v>
      </c>
      <c r="AB576">
        <v>42</v>
      </c>
      <c r="AC576">
        <f t="shared" si="39"/>
        <v>0.1385442360233099</v>
      </c>
      <c r="AI576" t="e">
        <f>IF(Y576="Yes",NA(),#REF!)</f>
        <v>#N/A</v>
      </c>
      <c r="AJ576" t="e">
        <f>IF(Y576="Yes",NA(),#REF!)</f>
        <v>#N/A</v>
      </c>
      <c r="AK576" t="e">
        <f>IF(Y576="Yes",NA(),#REF!)</f>
        <v>#N/A</v>
      </c>
    </row>
    <row r="577" spans="1:37" x14ac:dyDescent="0.35">
      <c r="A577" s="12">
        <v>577</v>
      </c>
      <c r="C577">
        <v>70</v>
      </c>
      <c r="E577" s="2">
        <v>1.5</v>
      </c>
      <c r="F577" s="2">
        <v>9.5</v>
      </c>
      <c r="G577" t="s">
        <v>34</v>
      </c>
      <c r="H577" t="s">
        <v>35</v>
      </c>
      <c r="J577" s="14">
        <f t="shared" si="40"/>
        <v>122.89999999999999</v>
      </c>
      <c r="K577">
        <v>1300</v>
      </c>
      <c r="N577" t="s">
        <v>54</v>
      </c>
      <c r="Q577" t="s">
        <v>55</v>
      </c>
      <c r="U577">
        <v>3</v>
      </c>
      <c r="W577" t="s">
        <v>1041</v>
      </c>
      <c r="X577" t="s">
        <v>40</v>
      </c>
      <c r="Y577" t="s">
        <v>40</v>
      </c>
      <c r="AA577">
        <f t="shared" si="38"/>
        <v>12.29</v>
      </c>
      <c r="AB577">
        <v>38.6</v>
      </c>
      <c r="AC577">
        <f t="shared" si="39"/>
        <v>0.11702118475356622</v>
      </c>
      <c r="AI577" t="e">
        <f>IF(Y577="Yes",NA(),#REF!)</f>
        <v>#N/A</v>
      </c>
      <c r="AJ577" t="e">
        <f>IF(Y577="Yes",NA(),#REF!)</f>
        <v>#N/A</v>
      </c>
      <c r="AK577" t="e">
        <f>IF(Y577="Yes",NA(),#REF!)</f>
        <v>#N/A</v>
      </c>
    </row>
    <row r="578" spans="1:37" x14ac:dyDescent="0.35">
      <c r="A578" s="12">
        <v>578</v>
      </c>
      <c r="C578">
        <v>70</v>
      </c>
      <c r="E578" s="2">
        <v>1.2</v>
      </c>
      <c r="F578" s="2">
        <v>9.5</v>
      </c>
      <c r="G578" t="s">
        <v>1042</v>
      </c>
      <c r="H578" t="s">
        <v>1043</v>
      </c>
      <c r="J578" s="14">
        <f t="shared" si="40"/>
        <v>308.8</v>
      </c>
      <c r="K578">
        <v>1300</v>
      </c>
      <c r="N578" t="s">
        <v>54</v>
      </c>
      <c r="Q578" t="s">
        <v>38</v>
      </c>
      <c r="W578" t="s">
        <v>1044</v>
      </c>
      <c r="X578" t="s">
        <v>40</v>
      </c>
      <c r="Y578" t="s">
        <v>40</v>
      </c>
      <c r="Z578" t="s">
        <v>1045</v>
      </c>
      <c r="AA578">
        <f t="shared" si="38"/>
        <v>30.88</v>
      </c>
      <c r="AB578">
        <v>97</v>
      </c>
      <c r="AC578">
        <f t="shared" si="39"/>
        <v>0.73898113194065906</v>
      </c>
      <c r="AI578" t="e">
        <f>IF(Y578="Yes",NA(),#REF!)</f>
        <v>#N/A</v>
      </c>
      <c r="AJ578" t="e">
        <f>IF(Y578="Yes",NA(),#REF!)</f>
        <v>#N/A</v>
      </c>
      <c r="AK578" t="e">
        <f>IF(Y578="Yes",NA(),#REF!)</f>
        <v>#N/A</v>
      </c>
    </row>
    <row r="579" spans="1:37" x14ac:dyDescent="0.35">
      <c r="A579" s="12">
        <v>579</v>
      </c>
      <c r="C579">
        <v>70</v>
      </c>
      <c r="G579" t="s">
        <v>47</v>
      </c>
      <c r="H579" t="s">
        <v>35</v>
      </c>
      <c r="J579" s="14">
        <f t="shared" si="40"/>
        <v>113.6</v>
      </c>
      <c r="K579">
        <v>1300</v>
      </c>
      <c r="N579" t="s">
        <v>54</v>
      </c>
      <c r="Q579" t="s">
        <v>55</v>
      </c>
      <c r="U579">
        <v>3</v>
      </c>
      <c r="W579" t="s">
        <v>1046</v>
      </c>
      <c r="X579" t="s">
        <v>40</v>
      </c>
      <c r="Y579" t="s">
        <v>40</v>
      </c>
      <c r="AA579">
        <f t="shared" ref="AA579:AA642" si="41">ROUND(AB579/PI(), 2)</f>
        <v>11.36</v>
      </c>
      <c r="AB579">
        <v>35.700000000000003</v>
      </c>
      <c r="AC579">
        <f t="shared" si="39"/>
        <v>0.1000982105268414</v>
      </c>
      <c r="AI579" t="e">
        <f>IF(Y579="Yes",NA(),#REF!)</f>
        <v>#N/A</v>
      </c>
      <c r="AJ579" t="e">
        <f>IF(Y579="Yes",NA(),#REF!)</f>
        <v>#N/A</v>
      </c>
      <c r="AK579" t="e">
        <f>IF(Y579="Yes",NA(),#REF!)</f>
        <v>#N/A</v>
      </c>
    </row>
    <row r="580" spans="1:37" x14ac:dyDescent="0.35">
      <c r="A580" s="12">
        <v>580</v>
      </c>
      <c r="C580">
        <v>70</v>
      </c>
      <c r="E580" s="23"/>
      <c r="F580" s="23"/>
      <c r="G580" t="s">
        <v>381</v>
      </c>
      <c r="H580" t="s">
        <v>382</v>
      </c>
      <c r="J580" s="14">
        <f t="shared" si="40"/>
        <v>222.8</v>
      </c>
      <c r="K580">
        <v>1300</v>
      </c>
      <c r="N580" t="s">
        <v>54</v>
      </c>
      <c r="Q580">
        <v>4</v>
      </c>
      <c r="U580">
        <v>3</v>
      </c>
      <c r="W580" t="s">
        <v>1047</v>
      </c>
      <c r="X580" t="s">
        <v>40</v>
      </c>
      <c r="Y580" t="s">
        <v>40</v>
      </c>
      <c r="AA580">
        <f t="shared" si="41"/>
        <v>22.28</v>
      </c>
      <c r="AB580" s="26">
        <v>70</v>
      </c>
      <c r="AC580">
        <f t="shared" si="39"/>
        <v>0.38484510006474965</v>
      </c>
      <c r="AI580" t="e">
        <f>IF(Y580="Yes",NA(),#REF!)</f>
        <v>#N/A</v>
      </c>
      <c r="AJ580" t="e">
        <f>IF(Y580="Yes",NA(),#REF!)</f>
        <v>#N/A</v>
      </c>
      <c r="AK580" t="e">
        <f>IF(Y580="Yes",NA(),#REF!)</f>
        <v>#N/A</v>
      </c>
    </row>
    <row r="581" spans="1:37" x14ac:dyDescent="0.35">
      <c r="A581" s="12">
        <v>581</v>
      </c>
      <c r="C581">
        <v>70</v>
      </c>
      <c r="E581" s="2">
        <v>3</v>
      </c>
      <c r="F581" s="2">
        <v>0.5</v>
      </c>
      <c r="G581" t="s">
        <v>114</v>
      </c>
      <c r="H581" t="s">
        <v>35</v>
      </c>
      <c r="J581" s="14">
        <f t="shared" si="40"/>
        <v>105</v>
      </c>
      <c r="K581">
        <v>1300</v>
      </c>
      <c r="N581" t="s">
        <v>54</v>
      </c>
      <c r="Q581" t="s">
        <v>934</v>
      </c>
      <c r="U581">
        <v>3</v>
      </c>
      <c r="W581" t="s">
        <v>1048</v>
      </c>
      <c r="X581" t="s">
        <v>40</v>
      </c>
      <c r="Y581" t="s">
        <v>40</v>
      </c>
      <c r="AA581">
        <f t="shared" si="41"/>
        <v>10.5</v>
      </c>
      <c r="AB581">
        <v>33</v>
      </c>
      <c r="AC581">
        <f t="shared" si="39"/>
        <v>8.5529859993982119E-2</v>
      </c>
      <c r="AI581" t="e">
        <f>IF(Y581="Yes",NA(),#REF!)</f>
        <v>#N/A</v>
      </c>
      <c r="AJ581" t="e">
        <f>IF(Y581="Yes",NA(),#REF!)</f>
        <v>#N/A</v>
      </c>
      <c r="AK581" t="e">
        <f>IF(Y581="Yes",NA(),#REF!)</f>
        <v>#N/A</v>
      </c>
    </row>
    <row r="582" spans="1:37" x14ac:dyDescent="0.35">
      <c r="A582" s="12">
        <v>582</v>
      </c>
      <c r="C582">
        <v>70</v>
      </c>
      <c r="E582" s="2">
        <v>5</v>
      </c>
      <c r="F582" s="2">
        <v>2</v>
      </c>
      <c r="G582" t="s">
        <v>47</v>
      </c>
      <c r="H582" t="s">
        <v>35</v>
      </c>
      <c r="J582" s="14">
        <f t="shared" si="40"/>
        <v>180.2</v>
      </c>
      <c r="K582">
        <v>1300</v>
      </c>
      <c r="N582" t="s">
        <v>54</v>
      </c>
      <c r="Q582" t="s">
        <v>38</v>
      </c>
      <c r="U582">
        <v>3</v>
      </c>
      <c r="W582" t="s">
        <v>1049</v>
      </c>
      <c r="X582" t="s">
        <v>40</v>
      </c>
      <c r="Y582" t="s">
        <v>40</v>
      </c>
      <c r="AA582">
        <f t="shared" si="41"/>
        <v>18.02</v>
      </c>
      <c r="AB582">
        <v>56.6</v>
      </c>
      <c r="AC582">
        <f t="shared" si="39"/>
        <v>0.25160701403335295</v>
      </c>
      <c r="AI582" t="e">
        <f>IF(Y582="Yes",NA(),#REF!)</f>
        <v>#N/A</v>
      </c>
      <c r="AJ582" t="e">
        <f>IF(Y582="Yes",NA(),#REF!)</f>
        <v>#N/A</v>
      </c>
      <c r="AK582" t="e">
        <f>IF(Y582="Yes",NA(),#REF!)</f>
        <v>#N/A</v>
      </c>
    </row>
    <row r="583" spans="1:37" x14ac:dyDescent="0.35">
      <c r="A583" s="12">
        <v>583</v>
      </c>
      <c r="C583">
        <v>70</v>
      </c>
      <c r="E583" s="23">
        <v>5.2</v>
      </c>
      <c r="F583" s="23">
        <v>2.4</v>
      </c>
      <c r="G583" t="s">
        <v>112</v>
      </c>
      <c r="H583" t="s">
        <v>1050</v>
      </c>
      <c r="J583" s="14">
        <f t="shared" si="40"/>
        <v>113.3</v>
      </c>
      <c r="K583">
        <v>1300</v>
      </c>
      <c r="N583" t="s">
        <v>61</v>
      </c>
      <c r="Q583">
        <v>1</v>
      </c>
      <c r="U583">
        <v>4</v>
      </c>
      <c r="W583" t="s">
        <v>1051</v>
      </c>
      <c r="X583" t="s">
        <v>40</v>
      </c>
      <c r="Y583" t="s">
        <v>40</v>
      </c>
      <c r="AA583">
        <f t="shared" si="41"/>
        <v>11.33</v>
      </c>
      <c r="AB583" s="26">
        <v>35.6</v>
      </c>
      <c r="AC583">
        <f t="shared" si="39"/>
        <v>9.9538221636339019E-2</v>
      </c>
      <c r="AI583" t="e">
        <f>IF(Y583="Yes",NA(),#REF!)</f>
        <v>#N/A</v>
      </c>
      <c r="AJ583" t="e">
        <f>IF(Y583="Yes",NA(),#REF!)</f>
        <v>#N/A</v>
      </c>
      <c r="AK583" t="e">
        <f>IF(Y583="Yes",NA(),#REF!)</f>
        <v>#N/A</v>
      </c>
    </row>
    <row r="584" spans="1:37" x14ac:dyDescent="0.35">
      <c r="A584" s="12">
        <v>584</v>
      </c>
      <c r="C584">
        <v>69</v>
      </c>
      <c r="E584" s="23">
        <v>9.8000000000000007</v>
      </c>
      <c r="F584" s="23">
        <v>9.1</v>
      </c>
      <c r="G584" t="s">
        <v>381</v>
      </c>
      <c r="H584" t="s">
        <v>382</v>
      </c>
      <c r="J584" s="14">
        <f t="shared" si="40"/>
        <v>148</v>
      </c>
      <c r="K584">
        <v>1300</v>
      </c>
      <c r="N584" t="s">
        <v>54</v>
      </c>
      <c r="Q584">
        <v>4</v>
      </c>
      <c r="U584">
        <v>7</v>
      </c>
      <c r="W584" t="s">
        <v>1052</v>
      </c>
      <c r="X584" t="s">
        <v>40</v>
      </c>
      <c r="Y584" t="s">
        <v>40</v>
      </c>
      <c r="AA584">
        <f t="shared" si="41"/>
        <v>14.8</v>
      </c>
      <c r="AB584" s="26">
        <v>46.5</v>
      </c>
      <c r="AC584">
        <f t="shared" si="39"/>
        <v>0.16982271788061323</v>
      </c>
      <c r="AI584" t="e">
        <f>IF(Y584="Yes",NA(),#REF!)</f>
        <v>#N/A</v>
      </c>
      <c r="AJ584" t="e">
        <f>IF(Y584="Yes",NA(),#REF!)</f>
        <v>#N/A</v>
      </c>
      <c r="AK584" t="e">
        <f>IF(Y584="Yes",NA(),#REF!)</f>
        <v>#N/A</v>
      </c>
    </row>
    <row r="585" spans="1:37" x14ac:dyDescent="0.35">
      <c r="A585" s="12">
        <v>585</v>
      </c>
      <c r="C585">
        <v>69</v>
      </c>
      <c r="E585" s="2">
        <v>7</v>
      </c>
      <c r="F585" s="2">
        <v>9.5</v>
      </c>
      <c r="G585" t="s">
        <v>114</v>
      </c>
      <c r="H585" t="s">
        <v>35</v>
      </c>
      <c r="J585" s="14">
        <f t="shared" si="40"/>
        <v>249.60000000000002</v>
      </c>
      <c r="K585">
        <v>1300</v>
      </c>
      <c r="N585" t="s">
        <v>54</v>
      </c>
      <c r="Q585">
        <v>5</v>
      </c>
      <c r="W585" t="s">
        <v>1053</v>
      </c>
      <c r="X585" t="s">
        <v>40</v>
      </c>
      <c r="Y585" t="s">
        <v>40</v>
      </c>
      <c r="AA585">
        <f t="shared" si="41"/>
        <v>24.96</v>
      </c>
      <c r="AB585">
        <v>78.400000000000006</v>
      </c>
      <c r="AC585">
        <f t="shared" si="39"/>
        <v>0.48274969352122205</v>
      </c>
      <c r="AI585" t="e">
        <f>IF(Y585="Yes",NA(),#REF!)</f>
        <v>#N/A</v>
      </c>
      <c r="AJ585" t="e">
        <f>IF(Y585="Yes",NA(),#REF!)</f>
        <v>#N/A</v>
      </c>
      <c r="AK585" t="e">
        <f>IF(Y585="Yes",NA(),#REF!)</f>
        <v>#N/A</v>
      </c>
    </row>
    <row r="586" spans="1:37" x14ac:dyDescent="0.35">
      <c r="A586" s="12">
        <v>586</v>
      </c>
      <c r="C586">
        <v>69</v>
      </c>
      <c r="E586" s="2">
        <v>4</v>
      </c>
      <c r="F586" s="2">
        <v>9</v>
      </c>
      <c r="G586" t="s">
        <v>114</v>
      </c>
      <c r="H586" t="s">
        <v>35</v>
      </c>
      <c r="J586" s="14">
        <f t="shared" si="40"/>
        <v>101.89999999999999</v>
      </c>
      <c r="K586">
        <v>1300</v>
      </c>
      <c r="N586" t="s">
        <v>54</v>
      </c>
      <c r="Q586" t="s">
        <v>55</v>
      </c>
      <c r="W586" t="s">
        <v>1054</v>
      </c>
      <c r="X586" t="s">
        <v>40</v>
      </c>
      <c r="Y586" t="s">
        <v>240</v>
      </c>
      <c r="AA586">
        <f t="shared" si="41"/>
        <v>10.19</v>
      </c>
      <c r="AB586">
        <v>32</v>
      </c>
      <c r="AC586">
        <f t="shared" si="39"/>
        <v>8.0424771931898703E-2</v>
      </c>
      <c r="AI586" t="e">
        <f>IF(Y586="Yes",NA(),#REF!)</f>
        <v>#REF!</v>
      </c>
      <c r="AJ586" t="e">
        <f>IF(Y586="Yes",NA(),#REF!)</f>
        <v>#REF!</v>
      </c>
      <c r="AK586" t="e">
        <f>IF(Y586="Yes",NA(),#REF!)</f>
        <v>#REF!</v>
      </c>
    </row>
    <row r="587" spans="1:37" x14ac:dyDescent="0.35">
      <c r="A587" s="12">
        <v>587</v>
      </c>
      <c r="C587">
        <v>69</v>
      </c>
      <c r="E587" s="2">
        <v>3</v>
      </c>
      <c r="F587" s="2">
        <v>8</v>
      </c>
      <c r="G587" t="s">
        <v>34</v>
      </c>
      <c r="H587" t="s">
        <v>1055</v>
      </c>
      <c r="J587" s="14">
        <f t="shared" si="40"/>
        <v>212</v>
      </c>
      <c r="K587">
        <v>1300</v>
      </c>
      <c r="N587" t="s">
        <v>54</v>
      </c>
      <c r="Q587" t="s">
        <v>38</v>
      </c>
      <c r="W587" t="s">
        <v>1056</v>
      </c>
      <c r="X587" t="s">
        <v>40</v>
      </c>
      <c r="Y587" t="s">
        <v>40</v>
      </c>
      <c r="AA587">
        <f t="shared" si="41"/>
        <v>21.2</v>
      </c>
      <c r="AB587" s="26">
        <v>66.599999999999994</v>
      </c>
      <c r="AC587">
        <f t="shared" si="39"/>
        <v>0.34836806776391854</v>
      </c>
      <c r="AI587" t="e">
        <f>IF(Y587="Yes",NA(),#REF!)</f>
        <v>#N/A</v>
      </c>
      <c r="AJ587" t="e">
        <f>IF(Y587="Yes",NA(),#REF!)</f>
        <v>#N/A</v>
      </c>
      <c r="AK587" t="e">
        <f>IF(Y587="Yes",NA(),#REF!)</f>
        <v>#N/A</v>
      </c>
    </row>
    <row r="588" spans="1:37" x14ac:dyDescent="0.35">
      <c r="A588" s="12">
        <v>588</v>
      </c>
      <c r="C588">
        <v>69</v>
      </c>
      <c r="E588" s="2">
        <v>2</v>
      </c>
      <c r="F588" s="2">
        <v>8</v>
      </c>
      <c r="G588" t="s">
        <v>1042</v>
      </c>
      <c r="H588" t="s">
        <v>1043</v>
      </c>
      <c r="J588" s="14">
        <f t="shared" si="40"/>
        <v>299.20000000000005</v>
      </c>
      <c r="K588">
        <v>1300</v>
      </c>
      <c r="N588" t="s">
        <v>54</v>
      </c>
      <c r="Q588">
        <v>5</v>
      </c>
      <c r="W588" t="s">
        <v>1057</v>
      </c>
      <c r="X588" t="s">
        <v>40</v>
      </c>
      <c r="Y588" t="s">
        <v>40</v>
      </c>
      <c r="AA588">
        <f t="shared" si="41"/>
        <v>29.92</v>
      </c>
      <c r="AB588">
        <v>94</v>
      </c>
      <c r="AC588">
        <f t="shared" si="39"/>
        <v>0.69397781717798535</v>
      </c>
      <c r="AI588" t="e">
        <f>IF(Y588="Yes",NA(),#REF!)</f>
        <v>#N/A</v>
      </c>
      <c r="AJ588" t="e">
        <f>IF(Y588="Yes",NA(),#REF!)</f>
        <v>#N/A</v>
      </c>
      <c r="AK588" t="e">
        <f>IF(Y588="Yes",NA(),#REF!)</f>
        <v>#N/A</v>
      </c>
    </row>
    <row r="589" spans="1:37" x14ac:dyDescent="0.35">
      <c r="A589" s="12">
        <v>589</v>
      </c>
      <c r="C589">
        <v>69</v>
      </c>
      <c r="E589" s="2">
        <v>2</v>
      </c>
      <c r="F589" s="2">
        <v>5</v>
      </c>
      <c r="G589" t="s">
        <v>63</v>
      </c>
      <c r="H589" t="s">
        <v>64</v>
      </c>
      <c r="J589" s="14">
        <f t="shared" si="40"/>
        <v>120</v>
      </c>
      <c r="K589">
        <v>1300</v>
      </c>
      <c r="N589" t="s">
        <v>54</v>
      </c>
      <c r="Q589" t="s">
        <v>38</v>
      </c>
      <c r="W589" t="s">
        <v>1058</v>
      </c>
      <c r="AA589">
        <f t="shared" si="41"/>
        <v>12</v>
      </c>
      <c r="AB589">
        <v>37.700000000000003</v>
      </c>
      <c r="AC589">
        <f t="shared" si="39"/>
        <v>0.11162785556551597</v>
      </c>
      <c r="AI589" t="e">
        <f>IF(Y589="Yes",NA(),#REF!)</f>
        <v>#REF!</v>
      </c>
      <c r="AJ589" t="e">
        <f>IF(Y589="Yes",NA(),#REF!)</f>
        <v>#REF!</v>
      </c>
      <c r="AK589" t="e">
        <f>IF(Y589="Yes",NA(),#REF!)</f>
        <v>#REF!</v>
      </c>
    </row>
    <row r="590" spans="1:37" x14ac:dyDescent="0.35">
      <c r="A590" s="12">
        <v>590</v>
      </c>
      <c r="C590">
        <v>69</v>
      </c>
      <c r="E590" s="2">
        <v>4</v>
      </c>
      <c r="F590" s="2">
        <v>4.9000000000000004</v>
      </c>
      <c r="G590" t="s">
        <v>360</v>
      </c>
      <c r="H590" t="s">
        <v>361</v>
      </c>
      <c r="J590" s="14">
        <f t="shared" si="40"/>
        <v>258.5</v>
      </c>
      <c r="K590">
        <v>1300</v>
      </c>
      <c r="N590" t="s">
        <v>61</v>
      </c>
      <c r="Q590">
        <v>5</v>
      </c>
      <c r="W590" t="s">
        <v>1059</v>
      </c>
      <c r="X590" t="s">
        <v>40</v>
      </c>
      <c r="Y590" t="s">
        <v>40</v>
      </c>
      <c r="AA590">
        <f t="shared" si="41"/>
        <v>25.85</v>
      </c>
      <c r="AB590">
        <v>81.2</v>
      </c>
      <c r="AC590">
        <f t="shared" si="39"/>
        <v>0.51784756664712728</v>
      </c>
      <c r="AI590" t="e">
        <f>IF(Y590="Yes",NA(),#REF!)</f>
        <v>#N/A</v>
      </c>
      <c r="AJ590" t="e">
        <f>IF(Y590="Yes",NA(),#REF!)</f>
        <v>#N/A</v>
      </c>
      <c r="AK590" t="e">
        <f>IF(Y590="Yes",NA(),#REF!)</f>
        <v>#N/A</v>
      </c>
    </row>
    <row r="591" spans="1:37" x14ac:dyDescent="0.35">
      <c r="A591" s="12">
        <v>591</v>
      </c>
      <c r="C591">
        <v>69</v>
      </c>
      <c r="E591" s="2">
        <v>2</v>
      </c>
      <c r="F591" s="2">
        <v>3.5</v>
      </c>
      <c r="G591" t="s">
        <v>47</v>
      </c>
      <c r="H591" t="s">
        <v>35</v>
      </c>
      <c r="J591" s="14">
        <f t="shared" si="40"/>
        <v>165.5</v>
      </c>
      <c r="K591">
        <v>1300</v>
      </c>
      <c r="N591" t="s">
        <v>54</v>
      </c>
      <c r="Q591" t="s">
        <v>38</v>
      </c>
      <c r="U591">
        <v>3</v>
      </c>
      <c r="W591" t="s">
        <v>1060</v>
      </c>
      <c r="X591" t="s">
        <v>40</v>
      </c>
      <c r="Y591" t="s">
        <v>40</v>
      </c>
      <c r="AA591">
        <f t="shared" si="41"/>
        <v>16.55</v>
      </c>
      <c r="AB591">
        <v>52</v>
      </c>
      <c r="AC591">
        <f t="shared" si="39"/>
        <v>0.21237166338267002</v>
      </c>
      <c r="AI591" t="e">
        <f>IF(Y591="Yes",NA(),#REF!)</f>
        <v>#N/A</v>
      </c>
      <c r="AJ591" t="e">
        <f>IF(Y591="Yes",NA(),#REF!)</f>
        <v>#N/A</v>
      </c>
      <c r="AK591" t="e">
        <f>IF(Y591="Yes",NA(),#REF!)</f>
        <v>#N/A</v>
      </c>
    </row>
    <row r="592" spans="1:37" x14ac:dyDescent="0.35">
      <c r="A592" s="12">
        <v>592</v>
      </c>
      <c r="C592">
        <v>69</v>
      </c>
      <c r="E592" s="2">
        <v>2.1</v>
      </c>
      <c r="F592" s="2">
        <v>3.3</v>
      </c>
      <c r="G592" t="s">
        <v>89</v>
      </c>
      <c r="H592" t="s">
        <v>90</v>
      </c>
      <c r="J592" s="14">
        <f t="shared" si="40"/>
        <v>131.1</v>
      </c>
      <c r="K592">
        <v>1300</v>
      </c>
      <c r="N592" t="s">
        <v>54</v>
      </c>
      <c r="Q592" t="s">
        <v>38</v>
      </c>
      <c r="U592">
        <v>3</v>
      </c>
      <c r="W592" t="s">
        <v>1061</v>
      </c>
      <c r="X592" t="s">
        <v>40</v>
      </c>
      <c r="Y592" t="s">
        <v>40</v>
      </c>
      <c r="AA592">
        <f t="shared" si="41"/>
        <v>13.11</v>
      </c>
      <c r="AB592">
        <v>41.2</v>
      </c>
      <c r="AC592">
        <f t="shared" si="39"/>
        <v>0.13331662584773649</v>
      </c>
      <c r="AI592" t="e">
        <f>IF(Y592="Yes",NA(),#REF!)</f>
        <v>#N/A</v>
      </c>
      <c r="AJ592" t="e">
        <f>IF(Y592="Yes",NA(),#REF!)</f>
        <v>#N/A</v>
      </c>
      <c r="AK592" t="e">
        <f>IF(Y592="Yes",NA(),#REF!)</f>
        <v>#N/A</v>
      </c>
    </row>
    <row r="593" spans="1:37" x14ac:dyDescent="0.35">
      <c r="A593" s="12">
        <v>593</v>
      </c>
      <c r="C593">
        <v>69</v>
      </c>
      <c r="E593" s="2">
        <v>6</v>
      </c>
      <c r="F593" s="2">
        <v>4</v>
      </c>
      <c r="G593" t="s">
        <v>278</v>
      </c>
      <c r="H593" t="s">
        <v>1062</v>
      </c>
      <c r="J593" s="14">
        <f t="shared" si="40"/>
        <v>111.4</v>
      </c>
      <c r="K593">
        <v>1300</v>
      </c>
      <c r="N593" t="s">
        <v>81</v>
      </c>
      <c r="Q593" t="s">
        <v>134</v>
      </c>
      <c r="U593">
        <v>2</v>
      </c>
      <c r="W593" t="s">
        <v>1063</v>
      </c>
      <c r="X593" t="s">
        <v>40</v>
      </c>
      <c r="Y593" t="s">
        <v>40</v>
      </c>
      <c r="Z593" t="s">
        <v>1064</v>
      </c>
      <c r="AA593">
        <f t="shared" si="41"/>
        <v>11.14</v>
      </c>
      <c r="AB593">
        <v>35</v>
      </c>
      <c r="AC593">
        <f t="shared" si="39"/>
        <v>9.6211275016187411E-2</v>
      </c>
      <c r="AI593" t="e">
        <f>IF(Y593="Yes",NA(),#REF!)</f>
        <v>#N/A</v>
      </c>
      <c r="AJ593" t="e">
        <f>IF(Y593="Yes",NA(),#REF!)</f>
        <v>#N/A</v>
      </c>
      <c r="AK593" t="e">
        <f>IF(Y593="Yes",NA(),#REF!)</f>
        <v>#N/A</v>
      </c>
    </row>
    <row r="594" spans="1:37" x14ac:dyDescent="0.35">
      <c r="A594" s="12">
        <v>594</v>
      </c>
      <c r="C594">
        <v>69</v>
      </c>
      <c r="E594" s="2">
        <v>9</v>
      </c>
      <c r="F594" s="2">
        <v>4</v>
      </c>
      <c r="G594" t="s">
        <v>42</v>
      </c>
      <c r="H594" t="s">
        <v>116</v>
      </c>
      <c r="I594" t="s">
        <v>1065</v>
      </c>
      <c r="J594" s="14">
        <f t="shared" si="40"/>
        <v>311.90000000000003</v>
      </c>
      <c r="K594">
        <v>1300</v>
      </c>
      <c r="N594" t="s">
        <v>297</v>
      </c>
      <c r="Q594">
        <v>5</v>
      </c>
      <c r="W594" t="s">
        <v>1066</v>
      </c>
      <c r="X594" t="s">
        <v>40</v>
      </c>
      <c r="Y594" t="s">
        <v>40</v>
      </c>
      <c r="AA594">
        <f t="shared" si="41"/>
        <v>31.19</v>
      </c>
      <c r="AB594">
        <v>98</v>
      </c>
      <c r="AC594">
        <f t="shared" si="39"/>
        <v>0.75429639612690924</v>
      </c>
      <c r="AI594" t="e">
        <f>IF(Y594="Yes",NA(),#REF!)</f>
        <v>#N/A</v>
      </c>
      <c r="AJ594" t="e">
        <f>IF(Y594="Yes",NA(),#REF!)</f>
        <v>#N/A</v>
      </c>
      <c r="AK594" t="e">
        <f>IF(Y594="Yes",NA(),#REF!)</f>
        <v>#N/A</v>
      </c>
    </row>
    <row r="595" spans="1:37" x14ac:dyDescent="0.35">
      <c r="A595" s="12">
        <v>595</v>
      </c>
      <c r="C595">
        <v>69</v>
      </c>
      <c r="E595" s="2">
        <v>9.8000000000000007</v>
      </c>
      <c r="F595" s="2">
        <v>5</v>
      </c>
      <c r="G595" t="s">
        <v>63</v>
      </c>
      <c r="H595" t="s">
        <v>64</v>
      </c>
      <c r="J595" s="14">
        <f t="shared" si="40"/>
        <v>111.4</v>
      </c>
      <c r="K595">
        <v>1300</v>
      </c>
      <c r="N595" t="s">
        <v>54</v>
      </c>
      <c r="Q595" t="s">
        <v>38</v>
      </c>
      <c r="W595" t="s">
        <v>1067</v>
      </c>
      <c r="AA595">
        <f t="shared" si="41"/>
        <v>11.14</v>
      </c>
      <c r="AB595">
        <v>35</v>
      </c>
      <c r="AC595">
        <f t="shared" si="39"/>
        <v>9.6211275016187411E-2</v>
      </c>
      <c r="AI595" t="e">
        <f>IF(Y595="Yes",NA(),#REF!)</f>
        <v>#REF!</v>
      </c>
      <c r="AJ595" t="e">
        <f>IF(Y595="Yes",NA(),#REF!)</f>
        <v>#REF!</v>
      </c>
      <c r="AK595" t="e">
        <f>IF(Y595="Yes",NA(),#REF!)</f>
        <v>#REF!</v>
      </c>
    </row>
    <row r="596" spans="1:37" x14ac:dyDescent="0.35">
      <c r="A596" s="12">
        <v>596</v>
      </c>
      <c r="C596">
        <v>69</v>
      </c>
      <c r="E596" s="2">
        <v>8.5</v>
      </c>
      <c r="F596" s="2">
        <v>6</v>
      </c>
      <c r="G596" t="s">
        <v>42</v>
      </c>
      <c r="H596" t="s">
        <v>116</v>
      </c>
      <c r="I596" t="s">
        <v>1068</v>
      </c>
      <c r="J596" s="14">
        <f t="shared" si="40"/>
        <v>183</v>
      </c>
      <c r="K596">
        <v>1300</v>
      </c>
      <c r="N596" t="s">
        <v>54</v>
      </c>
      <c r="Q596">
        <v>4</v>
      </c>
      <c r="U596">
        <v>4</v>
      </c>
      <c r="W596" t="s">
        <v>1069</v>
      </c>
      <c r="X596" t="s">
        <v>40</v>
      </c>
      <c r="Y596" t="s">
        <v>40</v>
      </c>
      <c r="AA596">
        <f t="shared" si="41"/>
        <v>18.3</v>
      </c>
      <c r="AB596">
        <v>57.5</v>
      </c>
      <c r="AC596">
        <f t="shared" si="39"/>
        <v>0.2596722677732814</v>
      </c>
      <c r="AI596" t="e">
        <f>IF(Y596="Yes",NA(),#REF!)</f>
        <v>#N/A</v>
      </c>
      <c r="AJ596" t="e">
        <f>IF(Y596="Yes",NA(),#REF!)</f>
        <v>#N/A</v>
      </c>
      <c r="AK596" t="e">
        <f>IF(Y596="Yes",NA(),#REF!)</f>
        <v>#N/A</v>
      </c>
    </row>
    <row r="597" spans="1:37" s="28" customFormat="1" x14ac:dyDescent="0.35">
      <c r="A597" s="27">
        <v>597</v>
      </c>
      <c r="C597" s="28">
        <v>68</v>
      </c>
      <c r="E597" s="29">
        <v>9.5</v>
      </c>
      <c r="F597" s="29">
        <v>8.5</v>
      </c>
      <c r="G597" s="28" t="s">
        <v>114</v>
      </c>
      <c r="H597" s="28" t="s">
        <v>35</v>
      </c>
      <c r="J597" s="30">
        <f t="shared" si="40"/>
        <v>283.60000000000002</v>
      </c>
      <c r="K597" s="28">
        <v>1300</v>
      </c>
      <c r="N597" s="28" t="s">
        <v>54</v>
      </c>
      <c r="Q597" s="28">
        <v>5</v>
      </c>
      <c r="W597" s="28" t="s">
        <v>1070</v>
      </c>
      <c r="X597" s="28" t="s">
        <v>40</v>
      </c>
      <c r="Y597" s="28" t="s">
        <v>40</v>
      </c>
      <c r="Z597" s="28" t="s">
        <v>547</v>
      </c>
      <c r="AA597" s="28">
        <f t="shared" si="41"/>
        <v>28.36</v>
      </c>
      <c r="AB597" s="28">
        <v>89.1</v>
      </c>
      <c r="AC597" s="28">
        <f t="shared" si="39"/>
        <v>0.62351267935612964</v>
      </c>
      <c r="AI597" s="28" t="e">
        <f>IF(Y597="Yes",NA(),#REF!)</f>
        <v>#N/A</v>
      </c>
      <c r="AJ597" s="28" t="e">
        <f>IF(Y597="Yes",NA(),#REF!)</f>
        <v>#N/A</v>
      </c>
      <c r="AK597" s="28" t="e">
        <f>IF(Y597="Yes",NA(),#REF!)</f>
        <v>#N/A</v>
      </c>
    </row>
    <row r="598" spans="1:37" x14ac:dyDescent="0.35">
      <c r="A598" s="12">
        <v>598</v>
      </c>
      <c r="C598">
        <v>68</v>
      </c>
      <c r="E598" s="23">
        <v>9</v>
      </c>
      <c r="F598" s="23">
        <v>7</v>
      </c>
      <c r="G598" t="s">
        <v>59</v>
      </c>
      <c r="H598" t="s">
        <v>863</v>
      </c>
      <c r="J598" s="14">
        <f t="shared" si="40"/>
        <v>123.5</v>
      </c>
      <c r="K598">
        <v>1300</v>
      </c>
      <c r="N598" t="s">
        <v>54</v>
      </c>
      <c r="Q598" t="s">
        <v>152</v>
      </c>
      <c r="U598">
        <v>3</v>
      </c>
      <c r="W598" t="s">
        <v>1071</v>
      </c>
      <c r="X598" t="s">
        <v>40</v>
      </c>
      <c r="Y598" t="s">
        <v>40</v>
      </c>
      <c r="AA598">
        <f t="shared" si="41"/>
        <v>12.35</v>
      </c>
      <c r="AB598" s="26">
        <v>38.799999999999997</v>
      </c>
      <c r="AC598">
        <f t="shared" si="39"/>
        <v>0.11823698111050544</v>
      </c>
      <c r="AI598" t="e">
        <f>IF(Y598="Yes",NA(),#REF!)</f>
        <v>#N/A</v>
      </c>
      <c r="AJ598" t="e">
        <f>IF(Y598="Yes",NA(),#REF!)</f>
        <v>#N/A</v>
      </c>
      <c r="AK598" t="e">
        <f>IF(Y598="Yes",NA(),#REF!)</f>
        <v>#N/A</v>
      </c>
    </row>
    <row r="599" spans="1:37" x14ac:dyDescent="0.35">
      <c r="A599" s="12">
        <v>599</v>
      </c>
      <c r="C599">
        <v>68</v>
      </c>
      <c r="E599" s="2">
        <v>9</v>
      </c>
      <c r="F599" s="2">
        <v>6</v>
      </c>
      <c r="G599" t="s">
        <v>137</v>
      </c>
      <c r="H599" t="s">
        <v>138</v>
      </c>
      <c r="J599" s="14">
        <f t="shared" si="40"/>
        <v>116.8</v>
      </c>
      <c r="K599">
        <v>1300</v>
      </c>
      <c r="N599" t="s">
        <v>54</v>
      </c>
      <c r="Q599" t="s">
        <v>152</v>
      </c>
      <c r="W599" t="s">
        <v>1072</v>
      </c>
      <c r="X599" t="s">
        <v>40</v>
      </c>
      <c r="Y599" t="s">
        <v>40</v>
      </c>
      <c r="AA599">
        <f t="shared" si="41"/>
        <v>11.68</v>
      </c>
      <c r="AB599">
        <v>36.700000000000003</v>
      </c>
      <c r="AC599">
        <f t="shared" si="39"/>
        <v>0.10578449322983893</v>
      </c>
      <c r="AI599" t="e">
        <f>IF(Y599="Yes",NA(),#REF!)</f>
        <v>#N/A</v>
      </c>
      <c r="AJ599" t="e">
        <f>IF(Y599="Yes",NA(),#REF!)</f>
        <v>#N/A</v>
      </c>
      <c r="AK599" t="e">
        <f>IF(Y599="Yes",NA(),#REF!)</f>
        <v>#N/A</v>
      </c>
    </row>
    <row r="600" spans="1:37" x14ac:dyDescent="0.35">
      <c r="A600" s="12">
        <v>600</v>
      </c>
      <c r="C600">
        <v>68</v>
      </c>
      <c r="E600" s="2">
        <v>8.5</v>
      </c>
      <c r="F600" s="2">
        <v>9.6</v>
      </c>
      <c r="G600" t="s">
        <v>89</v>
      </c>
      <c r="H600" t="s">
        <v>90</v>
      </c>
      <c r="J600" s="14">
        <f t="shared" si="40"/>
        <v>214.5</v>
      </c>
      <c r="K600">
        <v>1300</v>
      </c>
      <c r="N600" t="s">
        <v>61</v>
      </c>
      <c r="Q600" t="s">
        <v>152</v>
      </c>
      <c r="U600">
        <v>3</v>
      </c>
      <c r="W600" t="s">
        <v>1073</v>
      </c>
      <c r="X600" t="s">
        <v>40</v>
      </c>
      <c r="Y600" t="s">
        <v>40</v>
      </c>
      <c r="AA600">
        <f t="shared" si="41"/>
        <v>21.45</v>
      </c>
      <c r="AB600">
        <v>67.400000000000006</v>
      </c>
      <c r="AC600">
        <f t="shared" si="39"/>
        <v>0.35678753607553931</v>
      </c>
      <c r="AI600" t="e">
        <f>IF(Y600="Yes",NA(),#REF!)</f>
        <v>#N/A</v>
      </c>
      <c r="AJ600" t="e">
        <f>IF(Y600="Yes",NA(),#REF!)</f>
        <v>#N/A</v>
      </c>
      <c r="AK600" t="e">
        <f>IF(Y600="Yes",NA(),#REF!)</f>
        <v>#N/A</v>
      </c>
    </row>
    <row r="601" spans="1:37" x14ac:dyDescent="0.35">
      <c r="A601" s="12">
        <v>601</v>
      </c>
      <c r="C601">
        <v>68</v>
      </c>
      <c r="E601" s="2">
        <v>7</v>
      </c>
      <c r="F601" s="2">
        <v>9.5</v>
      </c>
      <c r="G601" t="s">
        <v>145</v>
      </c>
      <c r="H601" t="s">
        <v>146</v>
      </c>
      <c r="J601" s="14">
        <f t="shared" si="40"/>
        <v>122.5</v>
      </c>
      <c r="K601">
        <v>1300</v>
      </c>
      <c r="N601" t="s">
        <v>54</v>
      </c>
      <c r="Q601" t="s">
        <v>152</v>
      </c>
      <c r="U601">
        <v>3</v>
      </c>
      <c r="W601" t="s">
        <v>1074</v>
      </c>
      <c r="X601" t="s">
        <v>40</v>
      </c>
      <c r="Y601" t="s">
        <v>40</v>
      </c>
      <c r="AA601">
        <f t="shared" si="41"/>
        <v>12.25</v>
      </c>
      <c r="AB601">
        <v>38.5</v>
      </c>
      <c r="AC601">
        <f t="shared" si="39"/>
        <v>0.11641564276958677</v>
      </c>
      <c r="AI601" t="e">
        <f>IF(Y601="Yes",NA(),#REF!)</f>
        <v>#N/A</v>
      </c>
      <c r="AJ601" t="e">
        <f>IF(Y601="Yes",NA(),#REF!)</f>
        <v>#N/A</v>
      </c>
      <c r="AK601" t="e">
        <f>IF(Y601="Yes",NA(),#REF!)</f>
        <v>#N/A</v>
      </c>
    </row>
    <row r="602" spans="1:37" x14ac:dyDescent="0.35">
      <c r="A602" s="12">
        <v>602</v>
      </c>
      <c r="C602">
        <v>68</v>
      </c>
      <c r="E602" s="23">
        <v>5</v>
      </c>
      <c r="F602" s="23">
        <v>9</v>
      </c>
      <c r="G602" t="s">
        <v>47</v>
      </c>
      <c r="H602" t="s">
        <v>189</v>
      </c>
      <c r="J602" s="14">
        <f t="shared" si="40"/>
        <v>128</v>
      </c>
      <c r="K602">
        <v>1300</v>
      </c>
      <c r="N602" t="s">
        <v>54</v>
      </c>
      <c r="Q602" t="s">
        <v>934</v>
      </c>
      <c r="U602">
        <v>3</v>
      </c>
      <c r="W602" t="s">
        <v>1075</v>
      </c>
      <c r="X602" t="s">
        <v>40</v>
      </c>
      <c r="Y602" t="s">
        <v>40</v>
      </c>
      <c r="AA602">
        <f t="shared" si="41"/>
        <v>12.8</v>
      </c>
      <c r="AB602" s="26">
        <v>40.200000000000003</v>
      </c>
      <c r="AC602">
        <f t="shared" si="39"/>
        <v>0.12692348479768126</v>
      </c>
      <c r="AI602" t="e">
        <f>IF(Y602="Yes",NA(),#REF!)</f>
        <v>#N/A</v>
      </c>
      <c r="AJ602" t="e">
        <f>IF(Y602="Yes",NA(),#REF!)</f>
        <v>#N/A</v>
      </c>
      <c r="AK602" t="e">
        <f>IF(Y602="Yes",NA(),#REF!)</f>
        <v>#N/A</v>
      </c>
    </row>
    <row r="603" spans="1:37" x14ac:dyDescent="0.35">
      <c r="A603" s="12">
        <v>603</v>
      </c>
      <c r="C603">
        <v>68</v>
      </c>
      <c r="E603" s="2">
        <v>5</v>
      </c>
      <c r="F603" s="2">
        <v>7</v>
      </c>
      <c r="G603" t="s">
        <v>34</v>
      </c>
      <c r="H603" t="s">
        <v>35</v>
      </c>
      <c r="J603" s="14">
        <f t="shared" si="40"/>
        <v>173.5</v>
      </c>
      <c r="K603">
        <v>1300</v>
      </c>
      <c r="N603" t="s">
        <v>1076</v>
      </c>
      <c r="Q603" t="s">
        <v>934</v>
      </c>
      <c r="U603">
        <v>3</v>
      </c>
      <c r="W603" t="s">
        <v>1077</v>
      </c>
      <c r="X603" t="s">
        <v>40</v>
      </c>
      <c r="Y603" t="s">
        <v>40</v>
      </c>
      <c r="Z603" t="s">
        <v>1078</v>
      </c>
      <c r="AA603">
        <f t="shared" si="41"/>
        <v>17.350000000000001</v>
      </c>
      <c r="AB603">
        <v>54.5</v>
      </c>
      <c r="AC603">
        <f t="shared" si="39"/>
        <v>0.23328288948312706</v>
      </c>
      <c r="AI603" t="e">
        <f>IF(Y603="Yes",NA(),#REF!)</f>
        <v>#N/A</v>
      </c>
      <c r="AJ603" t="e">
        <f>IF(Y603="Yes",NA(),#REF!)</f>
        <v>#N/A</v>
      </c>
      <c r="AK603" t="e">
        <f>IF(Y603="Yes",NA(),#REF!)</f>
        <v>#N/A</v>
      </c>
    </row>
    <row r="604" spans="1:37" x14ac:dyDescent="0.35">
      <c r="A604" s="12">
        <v>604</v>
      </c>
      <c r="C604">
        <v>68</v>
      </c>
      <c r="E604" s="2">
        <v>2</v>
      </c>
      <c r="F604" s="2">
        <v>9.5</v>
      </c>
      <c r="G604" t="s">
        <v>59</v>
      </c>
      <c r="H604" t="s">
        <v>234</v>
      </c>
      <c r="J604" s="14">
        <f t="shared" si="40"/>
        <v>105</v>
      </c>
      <c r="K604">
        <v>1300</v>
      </c>
      <c r="N604" t="s">
        <v>545</v>
      </c>
      <c r="Q604" t="s">
        <v>152</v>
      </c>
      <c r="U604">
        <v>2</v>
      </c>
      <c r="W604" t="s">
        <v>1079</v>
      </c>
      <c r="X604" t="s">
        <v>40</v>
      </c>
      <c r="Y604" t="s">
        <v>40</v>
      </c>
      <c r="AA604">
        <f t="shared" si="41"/>
        <v>10.5</v>
      </c>
      <c r="AB604">
        <v>33</v>
      </c>
      <c r="AC604">
        <f t="shared" si="39"/>
        <v>8.5529859993982119E-2</v>
      </c>
      <c r="AI604" t="e">
        <f>IF(Y604="Yes",NA(),#REF!)</f>
        <v>#N/A</v>
      </c>
      <c r="AJ604" t="e">
        <f>IF(Y604="Yes",NA(),#REF!)</f>
        <v>#N/A</v>
      </c>
      <c r="AK604" t="e">
        <f>IF(Y604="Yes",NA(),#REF!)</f>
        <v>#N/A</v>
      </c>
    </row>
    <row r="605" spans="1:37" x14ac:dyDescent="0.35">
      <c r="A605" s="12">
        <v>605</v>
      </c>
      <c r="C605">
        <v>68</v>
      </c>
      <c r="E605" s="2">
        <v>3</v>
      </c>
      <c r="F605" s="2">
        <v>7</v>
      </c>
      <c r="G605" t="s">
        <v>278</v>
      </c>
      <c r="H605" t="s">
        <v>279</v>
      </c>
      <c r="J605" s="14">
        <f t="shared" si="40"/>
        <v>286.5</v>
      </c>
      <c r="K605">
        <v>1300</v>
      </c>
      <c r="N605" t="s">
        <v>54</v>
      </c>
      <c r="Q605" t="s">
        <v>38</v>
      </c>
      <c r="U605">
        <v>4</v>
      </c>
      <c r="W605" t="s">
        <v>1080</v>
      </c>
      <c r="X605" t="s">
        <v>40</v>
      </c>
      <c r="Y605" t="s">
        <v>40</v>
      </c>
      <c r="AA605">
        <f t="shared" si="41"/>
        <v>28.65</v>
      </c>
      <c r="AB605">
        <v>90</v>
      </c>
      <c r="AC605">
        <f t="shared" si="39"/>
        <v>0.63617251235193317</v>
      </c>
      <c r="AI605" t="e">
        <f>IF(Y605="Yes",NA(),#REF!)</f>
        <v>#N/A</v>
      </c>
      <c r="AJ605" t="e">
        <f>IF(Y605="Yes",NA(),#REF!)</f>
        <v>#N/A</v>
      </c>
      <c r="AK605" t="e">
        <f>IF(Y605="Yes",NA(),#REF!)</f>
        <v>#N/A</v>
      </c>
    </row>
    <row r="606" spans="1:37" x14ac:dyDescent="0.35">
      <c r="A606" s="12">
        <v>606</v>
      </c>
      <c r="C606">
        <v>68</v>
      </c>
      <c r="E606" s="2">
        <v>0.8</v>
      </c>
      <c r="F606" s="2">
        <v>6</v>
      </c>
      <c r="G606" t="s">
        <v>278</v>
      </c>
      <c r="H606" t="s">
        <v>279</v>
      </c>
      <c r="J606" s="14">
        <f t="shared" si="40"/>
        <v>101.89999999999999</v>
      </c>
      <c r="K606">
        <v>1300</v>
      </c>
      <c r="N606" t="s">
        <v>54</v>
      </c>
      <c r="Q606">
        <v>1</v>
      </c>
      <c r="U606">
        <v>3</v>
      </c>
      <c r="W606" t="s">
        <v>1081</v>
      </c>
      <c r="X606" t="s">
        <v>40</v>
      </c>
      <c r="Y606" t="s">
        <v>40</v>
      </c>
      <c r="AA606">
        <f t="shared" si="41"/>
        <v>10.19</v>
      </c>
      <c r="AB606">
        <v>32</v>
      </c>
      <c r="AC606">
        <f t="shared" si="39"/>
        <v>8.0424771931898703E-2</v>
      </c>
      <c r="AI606" t="e">
        <f>IF(Y606="Yes",NA(),#REF!)</f>
        <v>#N/A</v>
      </c>
      <c r="AJ606" t="e">
        <f>IF(Y606="Yes",NA(),#REF!)</f>
        <v>#N/A</v>
      </c>
      <c r="AK606" t="e">
        <f>IF(Y606="Yes",NA(),#REF!)</f>
        <v>#N/A</v>
      </c>
    </row>
    <row r="607" spans="1:37" x14ac:dyDescent="0.35">
      <c r="A607" s="12">
        <v>607</v>
      </c>
      <c r="C607">
        <v>68</v>
      </c>
      <c r="E607" s="2">
        <v>1</v>
      </c>
      <c r="F607" s="2">
        <v>4</v>
      </c>
      <c r="G607" t="s">
        <v>59</v>
      </c>
      <c r="H607" t="s">
        <v>1082</v>
      </c>
      <c r="J607" s="14">
        <f t="shared" si="40"/>
        <v>110.1</v>
      </c>
      <c r="K607">
        <v>1300</v>
      </c>
      <c r="N607" t="s">
        <v>54</v>
      </c>
      <c r="Q607">
        <v>1</v>
      </c>
      <c r="W607" t="s">
        <v>1083</v>
      </c>
      <c r="X607" t="s">
        <v>40</v>
      </c>
      <c r="Y607" t="s">
        <v>40</v>
      </c>
      <c r="AA607">
        <f t="shared" si="41"/>
        <v>11.01</v>
      </c>
      <c r="AB607">
        <v>34.6</v>
      </c>
      <c r="AC607">
        <f t="shared" si="39"/>
        <v>9.4024726529288921E-2</v>
      </c>
      <c r="AI607" t="e">
        <f>IF(Y607="Yes",NA(),#REF!)</f>
        <v>#N/A</v>
      </c>
      <c r="AJ607" t="e">
        <f>IF(Y607="Yes",NA(),#REF!)</f>
        <v>#N/A</v>
      </c>
      <c r="AK607" t="e">
        <f>IF(Y607="Yes",NA(),#REF!)</f>
        <v>#N/A</v>
      </c>
    </row>
    <row r="608" spans="1:37" x14ac:dyDescent="0.35">
      <c r="A608" s="12">
        <v>608</v>
      </c>
      <c r="C608">
        <v>68</v>
      </c>
      <c r="E608" s="2">
        <v>1.3</v>
      </c>
      <c r="F608" s="2">
        <v>4</v>
      </c>
      <c r="G608" t="s">
        <v>495</v>
      </c>
      <c r="H608" t="s">
        <v>35</v>
      </c>
      <c r="J608" s="14">
        <f t="shared" si="40"/>
        <v>122.5</v>
      </c>
      <c r="K608">
        <v>1300</v>
      </c>
      <c r="N608" t="s">
        <v>54</v>
      </c>
      <c r="Q608" t="s">
        <v>934</v>
      </c>
      <c r="U608">
        <v>2</v>
      </c>
      <c r="W608" t="s">
        <v>1084</v>
      </c>
      <c r="X608" t="s">
        <v>40</v>
      </c>
      <c r="Y608" t="s">
        <v>40</v>
      </c>
      <c r="AA608">
        <f t="shared" si="41"/>
        <v>12.25</v>
      </c>
      <c r="AB608">
        <v>38.5</v>
      </c>
      <c r="AC608">
        <f t="shared" si="39"/>
        <v>0.11641564276958677</v>
      </c>
      <c r="AI608" t="e">
        <f>IF(Y608="Yes",NA(),#REF!)</f>
        <v>#N/A</v>
      </c>
      <c r="AJ608" t="e">
        <f>IF(Y608="Yes",NA(),#REF!)</f>
        <v>#N/A</v>
      </c>
      <c r="AK608" t="e">
        <f>IF(Y608="Yes",NA(),#REF!)</f>
        <v>#N/A</v>
      </c>
    </row>
    <row r="609" spans="1:37" x14ac:dyDescent="0.35">
      <c r="A609" s="12">
        <v>609</v>
      </c>
      <c r="C609">
        <v>68</v>
      </c>
      <c r="E609" s="2">
        <v>1.6</v>
      </c>
      <c r="F609" s="2">
        <v>4</v>
      </c>
      <c r="G609" t="s">
        <v>114</v>
      </c>
      <c r="H609" t="s">
        <v>35</v>
      </c>
      <c r="J609" s="14">
        <f t="shared" si="40"/>
        <v>199.89999999999998</v>
      </c>
      <c r="K609">
        <v>1300</v>
      </c>
      <c r="N609" t="s">
        <v>54</v>
      </c>
      <c r="Q609">
        <v>4</v>
      </c>
      <c r="W609" t="s">
        <v>1085</v>
      </c>
      <c r="X609" t="s">
        <v>40</v>
      </c>
      <c r="Y609" t="s">
        <v>40</v>
      </c>
      <c r="AA609">
        <f t="shared" si="41"/>
        <v>19.989999999999998</v>
      </c>
      <c r="AB609">
        <v>62.8</v>
      </c>
      <c r="AC609">
        <f t="shared" si="39"/>
        <v>0.30974846927333921</v>
      </c>
      <c r="AI609" t="e">
        <f>IF(Y609="Yes",NA(),#REF!)</f>
        <v>#N/A</v>
      </c>
      <c r="AJ609" t="e">
        <f>IF(Y609="Yes",NA(),#REF!)</f>
        <v>#N/A</v>
      </c>
      <c r="AK609" t="e">
        <f>IF(Y609="Yes",NA(),#REF!)</f>
        <v>#N/A</v>
      </c>
    </row>
    <row r="610" spans="1:37" x14ac:dyDescent="0.35">
      <c r="A610" s="12">
        <v>610</v>
      </c>
      <c r="C610">
        <v>68</v>
      </c>
      <c r="E610" s="2">
        <v>6.5</v>
      </c>
      <c r="F610" s="2">
        <v>2</v>
      </c>
      <c r="G610" t="s">
        <v>66</v>
      </c>
      <c r="H610" t="s">
        <v>573</v>
      </c>
      <c r="J610" s="14">
        <f t="shared" si="40"/>
        <v>706.59999999999991</v>
      </c>
      <c r="K610">
        <v>1300</v>
      </c>
      <c r="N610" t="s">
        <v>54</v>
      </c>
      <c r="Q610">
        <v>5</v>
      </c>
      <c r="W610" t="s">
        <v>1086</v>
      </c>
      <c r="X610" t="s">
        <v>40</v>
      </c>
      <c r="Y610" t="s">
        <v>40</v>
      </c>
      <c r="AA610">
        <f t="shared" si="41"/>
        <v>70.66</v>
      </c>
      <c r="AB610">
        <v>222</v>
      </c>
      <c r="AC610">
        <f t="shared" si="39"/>
        <v>3.8707563084879841</v>
      </c>
      <c r="AI610" t="e">
        <f>IF(Y610="Yes",NA(),#REF!)</f>
        <v>#N/A</v>
      </c>
      <c r="AJ610" t="e">
        <f>IF(Y610="Yes",NA(),#REF!)</f>
        <v>#N/A</v>
      </c>
      <c r="AK610" t="e">
        <f>IF(Y610="Yes",NA(),#REF!)</f>
        <v>#N/A</v>
      </c>
    </row>
    <row r="611" spans="1:37" x14ac:dyDescent="0.35">
      <c r="A611" s="12">
        <v>611</v>
      </c>
      <c r="C611">
        <v>68</v>
      </c>
      <c r="E611" s="2">
        <v>6</v>
      </c>
      <c r="F611" s="2">
        <v>1.7</v>
      </c>
      <c r="G611" t="s">
        <v>145</v>
      </c>
      <c r="H611" t="s">
        <v>393</v>
      </c>
      <c r="J611" s="14">
        <f t="shared" si="40"/>
        <v>116.5</v>
      </c>
      <c r="K611">
        <v>1300</v>
      </c>
      <c r="N611" t="s">
        <v>54</v>
      </c>
      <c r="Q611" t="s">
        <v>934</v>
      </c>
      <c r="U611">
        <v>2</v>
      </c>
      <c r="W611" t="s">
        <v>1087</v>
      </c>
      <c r="X611" t="s">
        <v>40</v>
      </c>
      <c r="Y611" t="s">
        <v>40</v>
      </c>
      <c r="AA611">
        <f t="shared" si="41"/>
        <v>11.65</v>
      </c>
      <c r="AB611">
        <v>36.6</v>
      </c>
      <c r="AC611">
        <f t="shared" si="39"/>
        <v>0.10520879637606859</v>
      </c>
      <c r="AI611" t="e">
        <f>IF(Y611="Yes",NA(),#REF!)</f>
        <v>#N/A</v>
      </c>
      <c r="AJ611" t="e">
        <f>IF(Y611="Yes",NA(),#REF!)</f>
        <v>#N/A</v>
      </c>
      <c r="AK611" t="e">
        <f>IF(Y611="Yes",NA(),#REF!)</f>
        <v>#N/A</v>
      </c>
    </row>
    <row r="612" spans="1:37" x14ac:dyDescent="0.35">
      <c r="A612" s="12">
        <v>612</v>
      </c>
      <c r="C612">
        <v>68</v>
      </c>
      <c r="E612" s="2">
        <v>6.5</v>
      </c>
      <c r="F612" s="2">
        <v>1.7</v>
      </c>
      <c r="G612" t="s">
        <v>114</v>
      </c>
      <c r="H612" t="s">
        <v>35</v>
      </c>
      <c r="J612" s="14">
        <f t="shared" si="40"/>
        <v>187.5</v>
      </c>
      <c r="K612">
        <v>1300</v>
      </c>
      <c r="N612" t="s">
        <v>54</v>
      </c>
      <c r="Q612" t="s">
        <v>38</v>
      </c>
      <c r="W612" t="s">
        <v>1088</v>
      </c>
      <c r="X612" t="s">
        <v>40</v>
      </c>
      <c r="Y612" t="s">
        <v>40</v>
      </c>
      <c r="Z612" t="s">
        <v>248</v>
      </c>
      <c r="AA612">
        <f t="shared" si="41"/>
        <v>18.75</v>
      </c>
      <c r="AB612">
        <v>58.9</v>
      </c>
      <c r="AC612">
        <f t="shared" si="39"/>
        <v>0.27247111624400616</v>
      </c>
      <c r="AI612" t="e">
        <f>IF(Y612="Yes",NA(),#REF!)</f>
        <v>#N/A</v>
      </c>
      <c r="AJ612" t="e">
        <f>IF(Y612="Yes",NA(),#REF!)</f>
        <v>#N/A</v>
      </c>
      <c r="AK612" t="e">
        <f>IF(Y612="Yes",NA(),#REF!)</f>
        <v>#N/A</v>
      </c>
    </row>
    <row r="613" spans="1:37" x14ac:dyDescent="0.35">
      <c r="A613" s="12">
        <v>613</v>
      </c>
      <c r="C613">
        <v>68</v>
      </c>
      <c r="E613" s="2">
        <v>6.5</v>
      </c>
      <c r="F613" s="2">
        <v>3.6</v>
      </c>
      <c r="G613" t="s">
        <v>66</v>
      </c>
      <c r="H613" t="s">
        <v>67</v>
      </c>
      <c r="J613" s="14">
        <f t="shared" si="40"/>
        <v>175.10000000000002</v>
      </c>
      <c r="K613">
        <v>1300</v>
      </c>
      <c r="N613" t="s">
        <v>54</v>
      </c>
      <c r="Q613" t="s">
        <v>152</v>
      </c>
      <c r="W613" t="s">
        <v>1089</v>
      </c>
      <c r="X613" t="s">
        <v>40</v>
      </c>
      <c r="Y613" t="s">
        <v>40</v>
      </c>
      <c r="AA613">
        <f t="shared" si="41"/>
        <v>17.510000000000002</v>
      </c>
      <c r="AB613" s="26">
        <v>55</v>
      </c>
      <c r="AC613">
        <f t="shared" si="39"/>
        <v>0.23758294442772812</v>
      </c>
      <c r="AI613" t="e">
        <f>IF(Y613="Yes",NA(),#REF!)</f>
        <v>#N/A</v>
      </c>
      <c r="AJ613" t="e">
        <f>IF(Y613="Yes",NA(),#REF!)</f>
        <v>#N/A</v>
      </c>
      <c r="AK613" t="e">
        <f>IF(Y613="Yes",NA(),#REF!)</f>
        <v>#N/A</v>
      </c>
    </row>
    <row r="614" spans="1:37" x14ac:dyDescent="0.35">
      <c r="A614" s="12">
        <v>614</v>
      </c>
      <c r="C614">
        <v>68</v>
      </c>
      <c r="E614" s="2">
        <v>6</v>
      </c>
      <c r="F614" s="2">
        <v>4</v>
      </c>
      <c r="G614" t="s">
        <v>114</v>
      </c>
      <c r="H614" t="s">
        <v>35</v>
      </c>
      <c r="J614" s="14">
        <f t="shared" si="40"/>
        <v>115.19999999999999</v>
      </c>
      <c r="K614">
        <v>1300</v>
      </c>
      <c r="N614" t="s">
        <v>61</v>
      </c>
      <c r="Q614" t="s">
        <v>934</v>
      </c>
      <c r="W614" t="s">
        <v>1090</v>
      </c>
      <c r="X614" t="s">
        <v>40</v>
      </c>
      <c r="Y614" t="s">
        <v>40</v>
      </c>
      <c r="AA614">
        <f t="shared" si="41"/>
        <v>11.52</v>
      </c>
      <c r="AB614">
        <v>36.200000000000003</v>
      </c>
      <c r="AC614">
        <f t="shared" si="39"/>
        <v>0.10292171692425522</v>
      </c>
      <c r="AI614" t="e">
        <f>IF(Y614="Yes",NA(),#REF!)</f>
        <v>#N/A</v>
      </c>
      <c r="AJ614" t="e">
        <f>IF(Y614="Yes",NA(),#REF!)</f>
        <v>#N/A</v>
      </c>
      <c r="AK614" t="e">
        <f>IF(Y614="Yes",NA(),#REF!)</f>
        <v>#N/A</v>
      </c>
    </row>
    <row r="615" spans="1:37" x14ac:dyDescent="0.35">
      <c r="A615" s="12">
        <v>615</v>
      </c>
      <c r="C615">
        <v>68</v>
      </c>
      <c r="E615" s="23">
        <v>8.5</v>
      </c>
      <c r="F615" s="23">
        <v>1.5</v>
      </c>
      <c r="G615" t="s">
        <v>213</v>
      </c>
      <c r="H615" t="s">
        <v>342</v>
      </c>
      <c r="J615" s="14">
        <f t="shared" si="40"/>
        <v>106.6</v>
      </c>
      <c r="K615">
        <v>1300</v>
      </c>
      <c r="N615" t="s">
        <v>54</v>
      </c>
      <c r="Q615" t="s">
        <v>934</v>
      </c>
      <c r="U615">
        <v>3</v>
      </c>
      <c r="W615" t="s">
        <v>1091</v>
      </c>
      <c r="X615" t="s">
        <v>40</v>
      </c>
      <c r="Y615" t="s">
        <v>40</v>
      </c>
      <c r="AA615">
        <f t="shared" si="41"/>
        <v>10.66</v>
      </c>
      <c r="AB615" s="26">
        <v>33.5</v>
      </c>
      <c r="AC615">
        <f t="shared" si="39"/>
        <v>8.8141308887278627E-2</v>
      </c>
      <c r="AI615" t="e">
        <f>IF(Y615="Yes",NA(),#REF!)</f>
        <v>#N/A</v>
      </c>
      <c r="AJ615" t="e">
        <f>IF(Y615="Yes",NA(),#REF!)</f>
        <v>#N/A</v>
      </c>
      <c r="AK615" t="e">
        <f>IF(Y615="Yes",NA(),#REF!)</f>
        <v>#N/A</v>
      </c>
    </row>
    <row r="616" spans="1:37" x14ac:dyDescent="0.35">
      <c r="A616" s="12">
        <v>616</v>
      </c>
      <c r="C616">
        <v>68</v>
      </c>
      <c r="E616" s="2">
        <v>8.5</v>
      </c>
      <c r="F616" s="2">
        <v>2.5</v>
      </c>
      <c r="G616" t="s">
        <v>66</v>
      </c>
      <c r="H616" t="s">
        <v>237</v>
      </c>
      <c r="J616" s="14">
        <f t="shared" si="40"/>
        <v>149</v>
      </c>
      <c r="K616">
        <v>1300</v>
      </c>
      <c r="N616" t="s">
        <v>218</v>
      </c>
      <c r="Q616" t="s">
        <v>152</v>
      </c>
      <c r="U616">
        <v>2</v>
      </c>
      <c r="W616" t="s">
        <v>1092</v>
      </c>
      <c r="X616" t="s">
        <v>40</v>
      </c>
      <c r="Y616" t="s">
        <v>40</v>
      </c>
      <c r="AA616">
        <f t="shared" si="41"/>
        <v>14.9</v>
      </c>
      <c r="AB616">
        <v>46.8</v>
      </c>
      <c r="AC616">
        <f t="shared" si="39"/>
        <v>0.17202104733996268</v>
      </c>
      <c r="AI616" t="e">
        <f>IF(Y616="Yes",NA(),#REF!)</f>
        <v>#N/A</v>
      </c>
      <c r="AJ616" t="e">
        <f>IF(Y616="Yes",NA(),#REF!)</f>
        <v>#N/A</v>
      </c>
      <c r="AK616" t="e">
        <f>IF(Y616="Yes",NA(),#REF!)</f>
        <v>#N/A</v>
      </c>
    </row>
    <row r="617" spans="1:37" x14ac:dyDescent="0.35">
      <c r="A617" s="12">
        <v>617</v>
      </c>
      <c r="C617">
        <v>67</v>
      </c>
      <c r="E617" s="2">
        <v>8</v>
      </c>
      <c r="F617" s="2">
        <v>8.5</v>
      </c>
      <c r="G617" t="s">
        <v>224</v>
      </c>
      <c r="H617" t="s">
        <v>1093</v>
      </c>
      <c r="J617" s="14">
        <f t="shared" si="40"/>
        <v>534.79999999999995</v>
      </c>
      <c r="K617">
        <v>1300</v>
      </c>
      <c r="N617" t="s">
        <v>54</v>
      </c>
      <c r="Q617">
        <v>5</v>
      </c>
      <c r="W617" t="s">
        <v>1094</v>
      </c>
      <c r="X617" t="s">
        <v>40</v>
      </c>
      <c r="Y617" t="s">
        <v>40</v>
      </c>
      <c r="AA617">
        <f t="shared" si="41"/>
        <v>53.48</v>
      </c>
      <c r="AB617">
        <v>168</v>
      </c>
      <c r="AC617">
        <f t="shared" si="39"/>
        <v>2.2167077763729583</v>
      </c>
      <c r="AI617" t="e">
        <f>IF(Y617="Yes",NA(),#REF!)</f>
        <v>#N/A</v>
      </c>
      <c r="AJ617" t="e">
        <f>IF(Y617="Yes",NA(),#REF!)</f>
        <v>#N/A</v>
      </c>
      <c r="AK617" t="e">
        <f>IF(Y617="Yes",NA(),#REF!)</f>
        <v>#N/A</v>
      </c>
    </row>
    <row r="618" spans="1:37" x14ac:dyDescent="0.35">
      <c r="A618" s="12">
        <v>618</v>
      </c>
      <c r="C618">
        <v>67</v>
      </c>
      <c r="E618" s="2">
        <v>5.5</v>
      </c>
      <c r="F618" s="2">
        <v>9</v>
      </c>
      <c r="G618" t="s">
        <v>114</v>
      </c>
      <c r="H618" t="s">
        <v>35</v>
      </c>
      <c r="J618" s="14">
        <f t="shared" si="40"/>
        <v>143.6</v>
      </c>
      <c r="K618">
        <v>1300</v>
      </c>
      <c r="N618" t="s">
        <v>61</v>
      </c>
      <c r="Q618" t="s">
        <v>55</v>
      </c>
      <c r="W618" t="s">
        <v>1095</v>
      </c>
      <c r="X618" t="s">
        <v>40</v>
      </c>
      <c r="Y618" t="s">
        <v>40</v>
      </c>
      <c r="AA618">
        <f t="shared" si="41"/>
        <v>14.36</v>
      </c>
      <c r="AB618">
        <v>45.1</v>
      </c>
      <c r="AC618">
        <f t="shared" si="39"/>
        <v>0.15975077183320435</v>
      </c>
      <c r="AI618" t="e">
        <f>IF(Y618="Yes",NA(),#REF!)</f>
        <v>#N/A</v>
      </c>
      <c r="AJ618" t="e">
        <f>IF(Y618="Yes",NA(),#REF!)</f>
        <v>#N/A</v>
      </c>
      <c r="AK618" t="e">
        <f>IF(Y618="Yes",NA(),#REF!)</f>
        <v>#N/A</v>
      </c>
    </row>
    <row r="619" spans="1:37" x14ac:dyDescent="0.35">
      <c r="A619" s="12">
        <v>619</v>
      </c>
      <c r="C619">
        <v>67</v>
      </c>
      <c r="E619" s="2">
        <v>4</v>
      </c>
      <c r="F619" s="2">
        <v>5</v>
      </c>
      <c r="G619" t="s">
        <v>63</v>
      </c>
      <c r="H619" t="s">
        <v>64</v>
      </c>
      <c r="J619" s="14">
        <f t="shared" si="40"/>
        <v>133.69999999999999</v>
      </c>
      <c r="K619">
        <v>1300</v>
      </c>
      <c r="N619" t="s">
        <v>54</v>
      </c>
      <c r="Q619" t="s">
        <v>152</v>
      </c>
      <c r="W619" t="s">
        <v>1096</v>
      </c>
      <c r="AA619">
        <f t="shared" si="41"/>
        <v>13.37</v>
      </c>
      <c r="AB619">
        <v>42</v>
      </c>
      <c r="AC619">
        <f t="shared" si="39"/>
        <v>0.1385442360233099</v>
      </c>
      <c r="AI619" t="e">
        <f>IF(Y619="Yes",NA(),#REF!)</f>
        <v>#REF!</v>
      </c>
      <c r="AJ619" t="e">
        <f>IF(Y619="Yes",NA(),#REF!)</f>
        <v>#REF!</v>
      </c>
      <c r="AK619" t="e">
        <f>IF(Y619="Yes",NA(),#REF!)</f>
        <v>#REF!</v>
      </c>
    </row>
    <row r="620" spans="1:37" x14ac:dyDescent="0.35">
      <c r="A620" s="12">
        <v>620</v>
      </c>
      <c r="C620">
        <v>67</v>
      </c>
      <c r="E620" s="2">
        <v>5</v>
      </c>
      <c r="F620" s="2">
        <v>3</v>
      </c>
      <c r="G620" t="s">
        <v>63</v>
      </c>
      <c r="H620" t="s">
        <v>64</v>
      </c>
      <c r="J620" s="14">
        <f t="shared" si="40"/>
        <v>122.89999999999999</v>
      </c>
      <c r="K620">
        <v>1300</v>
      </c>
      <c r="N620" t="s">
        <v>54</v>
      </c>
      <c r="Q620" t="s">
        <v>934</v>
      </c>
      <c r="W620" t="s">
        <v>1097</v>
      </c>
      <c r="AA620">
        <f t="shared" si="41"/>
        <v>12.29</v>
      </c>
      <c r="AB620">
        <v>38.6</v>
      </c>
      <c r="AC620">
        <f t="shared" si="39"/>
        <v>0.11702118475356622</v>
      </c>
      <c r="AI620" t="e">
        <f>IF(Y620="Yes",NA(),#REF!)</f>
        <v>#REF!</v>
      </c>
      <c r="AJ620" t="e">
        <f>IF(Y620="Yes",NA(),#REF!)</f>
        <v>#REF!</v>
      </c>
      <c r="AK620" t="e">
        <f>IF(Y620="Yes",NA(),#REF!)</f>
        <v>#REF!</v>
      </c>
    </row>
    <row r="621" spans="1:37" x14ac:dyDescent="0.35">
      <c r="A621" s="12">
        <v>621</v>
      </c>
      <c r="C621">
        <v>67</v>
      </c>
      <c r="E621" s="2">
        <v>8</v>
      </c>
      <c r="F621" s="2">
        <v>4</v>
      </c>
      <c r="G621" t="s">
        <v>495</v>
      </c>
      <c r="H621" t="s">
        <v>1098</v>
      </c>
      <c r="J621" s="14">
        <f t="shared" si="40"/>
        <v>152.20000000000002</v>
      </c>
      <c r="K621">
        <v>1300</v>
      </c>
      <c r="N621" t="s">
        <v>37</v>
      </c>
      <c r="Q621" t="s">
        <v>934</v>
      </c>
      <c r="W621" t="s">
        <v>1099</v>
      </c>
      <c r="X621" t="s">
        <v>40</v>
      </c>
      <c r="Y621" t="s">
        <v>40</v>
      </c>
      <c r="AA621">
        <f t="shared" si="41"/>
        <v>15.22</v>
      </c>
      <c r="AB621">
        <v>47.8</v>
      </c>
      <c r="AC621">
        <f t="shared" si="39"/>
        <v>0.17945091396570256</v>
      </c>
      <c r="AI621" t="e">
        <f>IF(Y621="Yes",NA(),#REF!)</f>
        <v>#N/A</v>
      </c>
      <c r="AJ621" t="e">
        <f>IF(Y621="Yes",NA(),#REF!)</f>
        <v>#N/A</v>
      </c>
      <c r="AK621" t="e">
        <f>IF(Y621="Yes",NA(),#REF!)</f>
        <v>#N/A</v>
      </c>
    </row>
    <row r="622" spans="1:37" x14ac:dyDescent="0.35">
      <c r="A622" s="12">
        <v>622</v>
      </c>
      <c r="C622">
        <v>67</v>
      </c>
      <c r="E622" s="2">
        <v>8.5</v>
      </c>
      <c r="F622" s="2">
        <v>5</v>
      </c>
      <c r="G622" t="s">
        <v>63</v>
      </c>
      <c r="H622" t="s">
        <v>64</v>
      </c>
      <c r="J622" s="14">
        <f t="shared" si="40"/>
        <v>143.19999999999999</v>
      </c>
      <c r="K622">
        <v>1300</v>
      </c>
      <c r="N622" t="s">
        <v>54</v>
      </c>
      <c r="Q622" t="s">
        <v>934</v>
      </c>
      <c r="W622" t="s">
        <v>1100</v>
      </c>
      <c r="AA622">
        <f t="shared" si="41"/>
        <v>14.32</v>
      </c>
      <c r="AB622">
        <v>45</v>
      </c>
      <c r="AC622">
        <f t="shared" si="39"/>
        <v>0.15904312808798329</v>
      </c>
      <c r="AI622" t="e">
        <f>IF(Y622="Yes",NA(),#REF!)</f>
        <v>#REF!</v>
      </c>
      <c r="AJ622" t="e">
        <f>IF(Y622="Yes",NA(),#REF!)</f>
        <v>#REF!</v>
      </c>
      <c r="AK622" t="e">
        <f>IF(Y622="Yes",NA(),#REF!)</f>
        <v>#REF!</v>
      </c>
    </row>
    <row r="623" spans="1:37" x14ac:dyDescent="0.35">
      <c r="A623" s="12">
        <v>623</v>
      </c>
      <c r="C623">
        <v>66</v>
      </c>
      <c r="E623" s="2">
        <v>8</v>
      </c>
      <c r="F623" s="2">
        <v>6.5</v>
      </c>
      <c r="G623" t="s">
        <v>670</v>
      </c>
      <c r="H623" t="s">
        <v>671</v>
      </c>
      <c r="J623" s="14">
        <f t="shared" si="40"/>
        <v>205.3</v>
      </c>
      <c r="K623">
        <v>1300</v>
      </c>
      <c r="N623" t="s">
        <v>54</v>
      </c>
      <c r="Q623">
        <v>1</v>
      </c>
      <c r="R623">
        <v>0</v>
      </c>
      <c r="W623" t="s">
        <v>1101</v>
      </c>
      <c r="X623" t="s">
        <v>40</v>
      </c>
      <c r="Y623" t="s">
        <v>40</v>
      </c>
      <c r="Z623" t="s">
        <v>1102</v>
      </c>
      <c r="AA623">
        <f t="shared" si="41"/>
        <v>20.53</v>
      </c>
      <c r="AB623">
        <v>64.5</v>
      </c>
      <c r="AC623">
        <f t="shared" si="39"/>
        <v>0.32674527092742339</v>
      </c>
      <c r="AI623" t="e">
        <f>IF(Y623="Yes",NA(),#REF!)</f>
        <v>#N/A</v>
      </c>
      <c r="AJ623" t="e">
        <f>IF(Y623="Yes",NA(),#REF!)</f>
        <v>#N/A</v>
      </c>
      <c r="AK623" t="e">
        <f>IF(Y623="Yes",NA(),#REF!)</f>
        <v>#N/A</v>
      </c>
    </row>
    <row r="624" spans="1:37" x14ac:dyDescent="0.35">
      <c r="A624" s="12">
        <v>624</v>
      </c>
      <c r="C624">
        <v>66</v>
      </c>
      <c r="E624" s="2">
        <v>8</v>
      </c>
      <c r="F624" s="2">
        <v>6</v>
      </c>
      <c r="G624" t="s">
        <v>70</v>
      </c>
      <c r="H624" t="s">
        <v>71</v>
      </c>
      <c r="J624" s="14">
        <f t="shared" si="40"/>
        <v>151.19999999999999</v>
      </c>
      <c r="K624">
        <v>1300</v>
      </c>
      <c r="N624" t="s">
        <v>61</v>
      </c>
      <c r="Q624" t="s">
        <v>152</v>
      </c>
      <c r="W624" t="s">
        <v>1103</v>
      </c>
      <c r="X624" t="s">
        <v>40</v>
      </c>
      <c r="Y624" t="s">
        <v>40</v>
      </c>
      <c r="Z624" t="s">
        <v>1104</v>
      </c>
      <c r="AA624">
        <f t="shared" si="41"/>
        <v>15.12</v>
      </c>
      <c r="AB624">
        <v>47.5</v>
      </c>
      <c r="AC624">
        <f t="shared" si="39"/>
        <v>0.17720546061654927</v>
      </c>
      <c r="AI624" t="e">
        <f>IF(Y624="Yes",NA(),#REF!)</f>
        <v>#N/A</v>
      </c>
      <c r="AJ624" t="e">
        <f>IF(Y624="Yes",NA(),#REF!)</f>
        <v>#N/A</v>
      </c>
      <c r="AK624" t="e">
        <f>IF(Y624="Yes",NA(),#REF!)</f>
        <v>#N/A</v>
      </c>
    </row>
    <row r="625" spans="1:37" x14ac:dyDescent="0.35">
      <c r="A625" s="12">
        <v>625</v>
      </c>
      <c r="C625">
        <v>66</v>
      </c>
      <c r="E625" s="2">
        <v>7.5</v>
      </c>
      <c r="F625" s="2">
        <v>9.5</v>
      </c>
      <c r="G625" t="s">
        <v>63</v>
      </c>
      <c r="H625" t="s">
        <v>64</v>
      </c>
      <c r="J625" s="14">
        <f t="shared" si="40"/>
        <v>133.69999999999999</v>
      </c>
      <c r="K625">
        <v>1300</v>
      </c>
      <c r="N625" t="s">
        <v>54</v>
      </c>
      <c r="Q625" t="s">
        <v>55</v>
      </c>
      <c r="W625" t="s">
        <v>1105</v>
      </c>
      <c r="AA625">
        <f t="shared" si="41"/>
        <v>13.37</v>
      </c>
      <c r="AB625">
        <v>42</v>
      </c>
      <c r="AC625">
        <f t="shared" si="39"/>
        <v>0.1385442360233099</v>
      </c>
      <c r="AI625" t="e">
        <f>IF(Y625="Yes",NA(),#REF!)</f>
        <v>#REF!</v>
      </c>
      <c r="AJ625" t="e">
        <f>IF(Y625="Yes",NA(),#REF!)</f>
        <v>#REF!</v>
      </c>
      <c r="AK625" t="e">
        <f>IF(Y625="Yes",NA(),#REF!)</f>
        <v>#REF!</v>
      </c>
    </row>
    <row r="626" spans="1:37" x14ac:dyDescent="0.35">
      <c r="A626" s="12">
        <v>626</v>
      </c>
      <c r="C626">
        <v>66</v>
      </c>
      <c r="E626" s="2">
        <v>3</v>
      </c>
      <c r="F626" s="2">
        <v>8.5</v>
      </c>
      <c r="G626" t="s">
        <v>47</v>
      </c>
      <c r="H626" t="s">
        <v>503</v>
      </c>
      <c r="J626" s="14">
        <f t="shared" si="40"/>
        <v>123.2</v>
      </c>
      <c r="K626">
        <v>1300</v>
      </c>
      <c r="N626" t="s">
        <v>54</v>
      </c>
      <c r="Q626" t="s">
        <v>55</v>
      </c>
      <c r="U626">
        <v>3</v>
      </c>
      <c r="W626" t="s">
        <v>1106</v>
      </c>
      <c r="X626" t="s">
        <v>40</v>
      </c>
      <c r="Y626" t="s">
        <v>240</v>
      </c>
      <c r="Z626" t="s">
        <v>1107</v>
      </c>
      <c r="AA626">
        <f t="shared" si="41"/>
        <v>12.32</v>
      </c>
      <c r="AB626">
        <v>38.700000000000003</v>
      </c>
      <c r="AC626">
        <f t="shared" si="39"/>
        <v>0.11762829753387245</v>
      </c>
      <c r="AI626" t="e">
        <f>IF(Y626="Yes",NA(),#REF!)</f>
        <v>#REF!</v>
      </c>
      <c r="AJ626" t="e">
        <f>IF(Y626="Yes",NA(),#REF!)</f>
        <v>#REF!</v>
      </c>
      <c r="AK626" t="e">
        <f>IF(Y626="Yes",NA(),#REF!)</f>
        <v>#REF!</v>
      </c>
    </row>
    <row r="627" spans="1:37" x14ac:dyDescent="0.35">
      <c r="A627" s="12">
        <v>627</v>
      </c>
      <c r="C627">
        <v>66</v>
      </c>
      <c r="E627" s="2">
        <v>4</v>
      </c>
      <c r="F627" s="2">
        <v>9</v>
      </c>
      <c r="G627" t="s">
        <v>63</v>
      </c>
      <c r="H627" t="s">
        <v>64</v>
      </c>
      <c r="J627" s="14">
        <f t="shared" si="40"/>
        <v>107.30000000000001</v>
      </c>
      <c r="K627">
        <v>1300</v>
      </c>
      <c r="N627" t="s">
        <v>54</v>
      </c>
      <c r="Q627">
        <v>1</v>
      </c>
      <c r="W627" t="s">
        <v>1108</v>
      </c>
      <c r="AA627">
        <f t="shared" si="41"/>
        <v>10.73</v>
      </c>
      <c r="AB627">
        <v>33.700000000000003</v>
      </c>
      <c r="AC627">
        <f t="shared" si="39"/>
        <v>8.9196884018884828E-2</v>
      </c>
      <c r="AI627" t="e">
        <f>IF(Y627="Yes",NA(),#REF!)</f>
        <v>#REF!</v>
      </c>
      <c r="AJ627" t="e">
        <f>IF(Y627="Yes",NA(),#REF!)</f>
        <v>#REF!</v>
      </c>
      <c r="AK627" t="e">
        <f>IF(Y627="Yes",NA(),#REF!)</f>
        <v>#REF!</v>
      </c>
    </row>
    <row r="628" spans="1:37" x14ac:dyDescent="0.35">
      <c r="A628" s="12">
        <v>628</v>
      </c>
      <c r="C628">
        <v>66</v>
      </c>
      <c r="E628" s="2">
        <v>2</v>
      </c>
      <c r="F628" s="2">
        <v>8.1999999999999993</v>
      </c>
      <c r="G628" t="s">
        <v>63</v>
      </c>
      <c r="H628" t="s">
        <v>64</v>
      </c>
      <c r="J628" s="14">
        <f t="shared" si="40"/>
        <v>100.9</v>
      </c>
      <c r="K628">
        <v>1300</v>
      </c>
      <c r="N628" t="s">
        <v>54</v>
      </c>
      <c r="Q628" t="s">
        <v>934</v>
      </c>
      <c r="W628" t="s">
        <v>1109</v>
      </c>
      <c r="AA628">
        <f t="shared" si="41"/>
        <v>10.09</v>
      </c>
      <c r="AB628">
        <v>31.7</v>
      </c>
      <c r="AC628">
        <f t="shared" si="39"/>
        <v>7.8923876041646177E-2</v>
      </c>
      <c r="AI628" t="e">
        <f>IF(Y628="Yes",NA(),#REF!)</f>
        <v>#REF!</v>
      </c>
      <c r="AJ628" t="e">
        <f>IF(Y628="Yes",NA(),#REF!)</f>
        <v>#REF!</v>
      </c>
      <c r="AK628" t="e">
        <f>IF(Y628="Yes",NA(),#REF!)</f>
        <v>#REF!</v>
      </c>
    </row>
    <row r="629" spans="1:37" x14ac:dyDescent="0.35">
      <c r="A629" s="12">
        <v>629</v>
      </c>
      <c r="C629">
        <v>66</v>
      </c>
      <c r="E629" s="23">
        <v>3.5</v>
      </c>
      <c r="F629" s="23">
        <v>8</v>
      </c>
      <c r="G629" t="s">
        <v>42</v>
      </c>
      <c r="H629" t="s">
        <v>484</v>
      </c>
      <c r="J629" s="14">
        <f t="shared" si="40"/>
        <v>103.10000000000001</v>
      </c>
      <c r="K629">
        <v>1300</v>
      </c>
      <c r="N629" t="s">
        <v>945</v>
      </c>
      <c r="Q629">
        <v>1</v>
      </c>
      <c r="U629">
        <v>3</v>
      </c>
      <c r="W629" t="s">
        <v>1110</v>
      </c>
      <c r="X629" t="s">
        <v>40</v>
      </c>
      <c r="Y629" t="s">
        <v>40</v>
      </c>
      <c r="AA629">
        <f t="shared" si="41"/>
        <v>10.31</v>
      </c>
      <c r="AB629" s="26">
        <v>32.4</v>
      </c>
      <c r="AC629">
        <f t="shared" si="39"/>
        <v>8.2447957600810529E-2</v>
      </c>
      <c r="AI629" t="e">
        <f>IF(Y629="Yes",NA(),#REF!)</f>
        <v>#N/A</v>
      </c>
      <c r="AJ629" t="e">
        <f>IF(Y629="Yes",NA(),#REF!)</f>
        <v>#N/A</v>
      </c>
      <c r="AK629" t="e">
        <f>IF(Y629="Yes",NA(),#REF!)</f>
        <v>#N/A</v>
      </c>
    </row>
    <row r="630" spans="1:37" x14ac:dyDescent="0.35">
      <c r="A630" s="12">
        <v>630</v>
      </c>
      <c r="C630">
        <v>66</v>
      </c>
      <c r="E630" s="23">
        <v>6</v>
      </c>
      <c r="F630" s="23">
        <v>1</v>
      </c>
      <c r="G630" t="s">
        <v>42</v>
      </c>
      <c r="H630" t="s">
        <v>357</v>
      </c>
      <c r="J630" s="14">
        <f t="shared" si="40"/>
        <v>112</v>
      </c>
      <c r="K630">
        <v>1300</v>
      </c>
      <c r="N630" t="s">
        <v>54</v>
      </c>
      <c r="Q630">
        <v>1</v>
      </c>
      <c r="U630">
        <v>3</v>
      </c>
      <c r="W630" t="s">
        <v>1111</v>
      </c>
      <c r="X630" t="s">
        <v>40</v>
      </c>
      <c r="Y630" t="s">
        <v>40</v>
      </c>
      <c r="AA630">
        <f t="shared" si="41"/>
        <v>11.2</v>
      </c>
      <c r="AB630" s="26">
        <v>35.200000000000003</v>
      </c>
      <c r="AC630">
        <f t="shared" ref="AC630:AC693" si="42">PI()*(AB630/2)*(AB630/2)/10000</f>
        <v>9.731397403759745E-2</v>
      </c>
      <c r="AI630" t="e">
        <f>IF(Y630="Yes",NA(),#REF!)</f>
        <v>#N/A</v>
      </c>
      <c r="AJ630" t="e">
        <f>IF(Y630="Yes",NA(),#REF!)</f>
        <v>#N/A</v>
      </c>
      <c r="AK630" t="e">
        <f>IF(Y630="Yes",NA(),#REF!)</f>
        <v>#N/A</v>
      </c>
    </row>
    <row r="631" spans="1:37" x14ac:dyDescent="0.35">
      <c r="A631" s="12">
        <v>631</v>
      </c>
      <c r="C631">
        <v>65</v>
      </c>
      <c r="E631" s="2">
        <v>6</v>
      </c>
      <c r="F631" s="2">
        <v>6</v>
      </c>
      <c r="G631" t="s">
        <v>63</v>
      </c>
      <c r="H631" t="s">
        <v>64</v>
      </c>
      <c r="J631" s="14">
        <f t="shared" si="40"/>
        <v>121</v>
      </c>
      <c r="K631">
        <v>1300</v>
      </c>
      <c r="N631" t="s">
        <v>54</v>
      </c>
      <c r="Q631" t="s">
        <v>55</v>
      </c>
      <c r="W631" t="s">
        <v>1112</v>
      </c>
      <c r="AA631">
        <f t="shared" si="41"/>
        <v>12.1</v>
      </c>
      <c r="AB631">
        <v>38</v>
      </c>
      <c r="AC631">
        <f t="shared" si="42"/>
        <v>0.11341149479459152</v>
      </c>
      <c r="AI631" t="e">
        <f>IF(Y631="Yes",NA(),#REF!)</f>
        <v>#REF!</v>
      </c>
      <c r="AJ631" t="e">
        <f>IF(Y631="Yes",NA(),#REF!)</f>
        <v>#REF!</v>
      </c>
      <c r="AK631" t="e">
        <f>IF(Y631="Yes",NA(),#REF!)</f>
        <v>#REF!</v>
      </c>
    </row>
    <row r="632" spans="1:37" x14ac:dyDescent="0.35">
      <c r="A632" s="12">
        <v>632</v>
      </c>
      <c r="C632">
        <v>65</v>
      </c>
      <c r="E632" s="2">
        <v>6</v>
      </c>
      <c r="F632" s="2">
        <v>5.5</v>
      </c>
      <c r="G632" t="s">
        <v>63</v>
      </c>
      <c r="H632" t="s">
        <v>64</v>
      </c>
      <c r="J632" s="14">
        <f t="shared" ref="J632:J695" si="43">ROUND(AB632/PI(), 2)*10</f>
        <v>156.9</v>
      </c>
      <c r="K632">
        <v>1300</v>
      </c>
      <c r="N632" t="s">
        <v>54</v>
      </c>
      <c r="Q632" t="s">
        <v>38</v>
      </c>
      <c r="W632" t="s">
        <v>1113</v>
      </c>
      <c r="AA632">
        <f t="shared" si="41"/>
        <v>15.69</v>
      </c>
      <c r="AB632">
        <v>49.3</v>
      </c>
      <c r="AC632">
        <f t="shared" si="42"/>
        <v>0.19089023821558637</v>
      </c>
      <c r="AI632" t="e">
        <f>IF(Y632="Yes",NA(),#REF!)</f>
        <v>#REF!</v>
      </c>
      <c r="AJ632" t="e">
        <f>IF(Y632="Yes",NA(),#REF!)</f>
        <v>#REF!</v>
      </c>
      <c r="AK632" t="e">
        <f>IF(Y632="Yes",NA(),#REF!)</f>
        <v>#REF!</v>
      </c>
    </row>
    <row r="633" spans="1:37" x14ac:dyDescent="0.35">
      <c r="A633" s="12">
        <v>633</v>
      </c>
      <c r="C633">
        <v>65</v>
      </c>
      <c r="E633" s="2">
        <v>5</v>
      </c>
      <c r="F633" s="2">
        <v>8</v>
      </c>
      <c r="G633" t="s">
        <v>231</v>
      </c>
      <c r="H633" t="s">
        <v>35</v>
      </c>
      <c r="J633" s="14">
        <f t="shared" si="43"/>
        <v>171.9</v>
      </c>
      <c r="K633">
        <v>1300</v>
      </c>
      <c r="N633" t="s">
        <v>61</v>
      </c>
      <c r="Q633" t="s">
        <v>152</v>
      </c>
      <c r="S633">
        <v>2</v>
      </c>
      <c r="U633">
        <v>3</v>
      </c>
      <c r="W633" t="s">
        <v>1114</v>
      </c>
      <c r="X633" t="s">
        <v>40</v>
      </c>
      <c r="Y633" t="s">
        <v>40</v>
      </c>
      <c r="Z633" t="s">
        <v>883</v>
      </c>
      <c r="AA633">
        <f t="shared" si="41"/>
        <v>17.190000000000001</v>
      </c>
      <c r="AB633">
        <v>54</v>
      </c>
      <c r="AC633">
        <f t="shared" si="42"/>
        <v>0.22902210444669591</v>
      </c>
      <c r="AI633" t="e">
        <f>IF(Y633="Yes",NA(),#REF!)</f>
        <v>#N/A</v>
      </c>
      <c r="AJ633" t="e">
        <f>IF(Y633="Yes",NA(),#REF!)</f>
        <v>#N/A</v>
      </c>
      <c r="AK633" t="e">
        <f>IF(Y633="Yes",NA(),#REF!)</f>
        <v>#N/A</v>
      </c>
    </row>
    <row r="634" spans="1:37" x14ac:dyDescent="0.35">
      <c r="A634" s="12">
        <v>634</v>
      </c>
      <c r="C634">
        <v>65</v>
      </c>
      <c r="E634" s="2">
        <v>3</v>
      </c>
      <c r="F634" s="2">
        <v>1</v>
      </c>
      <c r="G634" t="s">
        <v>42</v>
      </c>
      <c r="H634" t="s">
        <v>357</v>
      </c>
      <c r="J634" s="14">
        <f t="shared" si="43"/>
        <v>126.7</v>
      </c>
      <c r="K634">
        <v>1300</v>
      </c>
      <c r="N634" t="s">
        <v>54</v>
      </c>
      <c r="Q634">
        <v>1</v>
      </c>
      <c r="U634">
        <v>3</v>
      </c>
      <c r="W634" t="s">
        <v>1115</v>
      </c>
      <c r="X634" t="s">
        <v>40</v>
      </c>
      <c r="Y634" t="s">
        <v>40</v>
      </c>
      <c r="AA634">
        <f t="shared" si="41"/>
        <v>12.67</v>
      </c>
      <c r="AB634">
        <v>39.799999999999997</v>
      </c>
      <c r="AC634">
        <f t="shared" si="42"/>
        <v>0.12441021067480938</v>
      </c>
      <c r="AI634" t="e">
        <f>IF(Y634="Yes",NA(),#REF!)</f>
        <v>#N/A</v>
      </c>
      <c r="AJ634" t="e">
        <f>IF(Y634="Yes",NA(),#REF!)</f>
        <v>#N/A</v>
      </c>
      <c r="AK634" t="e">
        <f>IF(Y634="Yes",NA(),#REF!)</f>
        <v>#N/A</v>
      </c>
    </row>
    <row r="635" spans="1:37" x14ac:dyDescent="0.35">
      <c r="A635" s="12">
        <v>635</v>
      </c>
      <c r="B635" s="28"/>
      <c r="C635" s="28">
        <v>65</v>
      </c>
      <c r="D635" s="28"/>
      <c r="E635" s="2">
        <v>6.5</v>
      </c>
      <c r="F635" s="2">
        <v>1</v>
      </c>
      <c r="G635" s="28" t="s">
        <v>63</v>
      </c>
      <c r="H635" s="28" t="s">
        <v>64</v>
      </c>
      <c r="I635" s="28"/>
      <c r="J635" s="14">
        <f t="shared" si="43"/>
        <v>115.19999999999999</v>
      </c>
      <c r="K635" s="28">
        <v>1300</v>
      </c>
      <c r="L635" s="28"/>
      <c r="M635" s="28"/>
      <c r="N635" s="28" t="s">
        <v>54</v>
      </c>
      <c r="O635" s="28"/>
      <c r="P635" s="28"/>
      <c r="Q635" s="28" t="s">
        <v>55</v>
      </c>
      <c r="R635" s="28"/>
      <c r="S635" s="28"/>
      <c r="T635" s="28"/>
      <c r="U635" s="28"/>
      <c r="V635" s="28"/>
      <c r="W635" s="28" t="s">
        <v>1116</v>
      </c>
      <c r="X635" s="28"/>
      <c r="Y635" s="28"/>
      <c r="Z635" s="28"/>
      <c r="AA635" s="28">
        <f t="shared" si="41"/>
        <v>11.52</v>
      </c>
      <c r="AB635" s="28">
        <v>36.200000000000003</v>
      </c>
      <c r="AC635" s="28">
        <f t="shared" si="42"/>
        <v>0.10292171692425522</v>
      </c>
      <c r="AI635" t="e">
        <f>IF(Y635="Yes",NA(),#REF!)</f>
        <v>#REF!</v>
      </c>
      <c r="AJ635" t="e">
        <f>IF(Y635="Yes",NA(),#REF!)</f>
        <v>#REF!</v>
      </c>
      <c r="AK635" t="e">
        <f>IF(Y635="Yes",NA(),#REF!)</f>
        <v>#REF!</v>
      </c>
    </row>
    <row r="636" spans="1:37" x14ac:dyDescent="0.35">
      <c r="A636" s="12">
        <v>636</v>
      </c>
      <c r="C636">
        <v>65</v>
      </c>
      <c r="E636" s="2">
        <v>9</v>
      </c>
      <c r="F636" s="2">
        <v>4</v>
      </c>
      <c r="G636" t="s">
        <v>63</v>
      </c>
      <c r="H636" t="s">
        <v>64</v>
      </c>
      <c r="J636" s="14">
        <f t="shared" si="43"/>
        <v>116.19999999999999</v>
      </c>
      <c r="K636">
        <v>1300</v>
      </c>
      <c r="N636" t="s">
        <v>54</v>
      </c>
      <c r="Q636" t="s">
        <v>38</v>
      </c>
      <c r="W636" t="s">
        <v>1117</v>
      </c>
      <c r="AA636">
        <f t="shared" si="41"/>
        <v>11.62</v>
      </c>
      <c r="AB636">
        <v>36.5</v>
      </c>
      <c r="AC636">
        <f t="shared" si="42"/>
        <v>0.10463467031862504</v>
      </c>
      <c r="AI636" t="e">
        <f>IF(Y636="Yes",NA(),#REF!)</f>
        <v>#REF!</v>
      </c>
      <c r="AJ636" t="e">
        <f>IF(Y636="Yes",NA(),#REF!)</f>
        <v>#REF!</v>
      </c>
      <c r="AK636" t="e">
        <f>IF(Y636="Yes",NA(),#REF!)</f>
        <v>#REF!</v>
      </c>
    </row>
    <row r="637" spans="1:37" x14ac:dyDescent="0.35">
      <c r="A637" s="12">
        <v>637</v>
      </c>
      <c r="C637">
        <v>64</v>
      </c>
      <c r="E637" s="2">
        <v>7</v>
      </c>
      <c r="F637" s="2">
        <v>8.6999999999999993</v>
      </c>
      <c r="G637" t="s">
        <v>63</v>
      </c>
      <c r="H637" t="s">
        <v>64</v>
      </c>
      <c r="J637" s="14">
        <f t="shared" si="43"/>
        <v>108.5</v>
      </c>
      <c r="K637">
        <v>1300</v>
      </c>
      <c r="N637" t="s">
        <v>54</v>
      </c>
      <c r="Q637" t="s">
        <v>934</v>
      </c>
      <c r="W637" t="s">
        <v>1118</v>
      </c>
      <c r="AA637">
        <f t="shared" si="41"/>
        <v>10.85</v>
      </c>
      <c r="AB637">
        <v>34.1</v>
      </c>
      <c r="AC637">
        <f t="shared" si="42"/>
        <v>9.1326883838018694E-2</v>
      </c>
      <c r="AI637" t="e">
        <f>IF(Y637="Yes",NA(),#REF!)</f>
        <v>#REF!</v>
      </c>
      <c r="AJ637" t="e">
        <f>IF(Y637="Yes",NA(),#REF!)</f>
        <v>#REF!</v>
      </c>
      <c r="AK637" t="e">
        <f>IF(Y637="Yes",NA(),#REF!)</f>
        <v>#REF!</v>
      </c>
    </row>
    <row r="638" spans="1:37" x14ac:dyDescent="0.35">
      <c r="A638" s="12">
        <v>638</v>
      </c>
      <c r="C638">
        <v>64</v>
      </c>
      <c r="E638" s="2">
        <v>6.5</v>
      </c>
      <c r="F638" s="2">
        <v>8</v>
      </c>
      <c r="G638" t="s">
        <v>63</v>
      </c>
      <c r="H638" t="s">
        <v>64</v>
      </c>
      <c r="J638" s="14">
        <f t="shared" si="43"/>
        <v>135.9</v>
      </c>
      <c r="K638">
        <v>1300</v>
      </c>
      <c r="N638" t="s">
        <v>54</v>
      </c>
      <c r="Q638" t="s">
        <v>38</v>
      </c>
      <c r="W638" t="s">
        <v>1119</v>
      </c>
      <c r="AA638">
        <f t="shared" si="41"/>
        <v>13.59</v>
      </c>
      <c r="AB638">
        <v>42.7</v>
      </c>
      <c r="AC638">
        <f t="shared" si="42"/>
        <v>0.14320086173409335</v>
      </c>
      <c r="AI638" t="e">
        <f>IF(Y638="Yes",NA(),#REF!)</f>
        <v>#REF!</v>
      </c>
      <c r="AJ638" t="e">
        <f>IF(Y638="Yes",NA(),#REF!)</f>
        <v>#REF!</v>
      </c>
      <c r="AK638" t="e">
        <f>IF(Y638="Yes",NA(),#REF!)</f>
        <v>#REF!</v>
      </c>
    </row>
    <row r="639" spans="1:37" x14ac:dyDescent="0.35">
      <c r="A639" s="12">
        <v>639</v>
      </c>
      <c r="C639">
        <v>64</v>
      </c>
      <c r="E639" s="2">
        <v>5.5</v>
      </c>
      <c r="F639" s="2">
        <v>6.5</v>
      </c>
      <c r="G639" t="s">
        <v>63</v>
      </c>
      <c r="H639" t="s">
        <v>64</v>
      </c>
      <c r="J639" s="14">
        <f t="shared" si="43"/>
        <v>119</v>
      </c>
      <c r="K639">
        <v>1300</v>
      </c>
      <c r="N639" t="s">
        <v>54</v>
      </c>
      <c r="Q639" t="s">
        <v>934</v>
      </c>
      <c r="W639" t="s">
        <v>1120</v>
      </c>
      <c r="AA639">
        <f t="shared" si="41"/>
        <v>11.9</v>
      </c>
      <c r="AB639">
        <v>37.4</v>
      </c>
      <c r="AC639">
        <f t="shared" si="42"/>
        <v>0.10985835350338148</v>
      </c>
      <c r="AI639" t="e">
        <f>IF(Y639="Yes",NA(),#REF!)</f>
        <v>#REF!</v>
      </c>
      <c r="AJ639" t="e">
        <f>IF(Y639="Yes",NA(),#REF!)</f>
        <v>#REF!</v>
      </c>
      <c r="AK639" t="e">
        <f>IF(Y639="Yes",NA(),#REF!)</f>
        <v>#REF!</v>
      </c>
    </row>
    <row r="640" spans="1:37" x14ac:dyDescent="0.35">
      <c r="A640" s="12">
        <v>640</v>
      </c>
      <c r="C640">
        <v>64</v>
      </c>
      <c r="E640" s="2">
        <v>3</v>
      </c>
      <c r="F640" s="2">
        <v>7</v>
      </c>
      <c r="G640" t="s">
        <v>231</v>
      </c>
      <c r="H640" t="s">
        <v>1121</v>
      </c>
      <c r="I640" t="s">
        <v>1122</v>
      </c>
      <c r="J640" s="14">
        <f t="shared" si="43"/>
        <v>114.3</v>
      </c>
      <c r="K640">
        <v>1300</v>
      </c>
      <c r="N640" t="s">
        <v>54</v>
      </c>
      <c r="Q640" t="s">
        <v>55</v>
      </c>
      <c r="U640">
        <v>3</v>
      </c>
      <c r="W640" t="s">
        <v>1123</v>
      </c>
      <c r="X640" t="s">
        <v>40</v>
      </c>
      <c r="Y640" t="s">
        <v>40</v>
      </c>
      <c r="AA640">
        <f t="shared" si="41"/>
        <v>11.43</v>
      </c>
      <c r="AB640" s="26">
        <v>35.9</v>
      </c>
      <c r="AC640">
        <f t="shared" si="42"/>
        <v>0.10122290069682653</v>
      </c>
      <c r="AI640" t="e">
        <f>IF(Y640="Yes",NA(),#REF!)</f>
        <v>#N/A</v>
      </c>
      <c r="AJ640" t="e">
        <f>IF(Y640="Yes",NA(),#REF!)</f>
        <v>#N/A</v>
      </c>
      <c r="AK640" t="e">
        <f>IF(Y640="Yes",NA(),#REF!)</f>
        <v>#N/A</v>
      </c>
    </row>
    <row r="641" spans="1:37" x14ac:dyDescent="0.35">
      <c r="A641" s="12">
        <v>641</v>
      </c>
      <c r="C641">
        <v>64</v>
      </c>
      <c r="E641" s="2">
        <v>4</v>
      </c>
      <c r="F641" s="2">
        <v>7</v>
      </c>
      <c r="G641" t="s">
        <v>34</v>
      </c>
      <c r="H641" t="s">
        <v>35</v>
      </c>
      <c r="J641" s="14">
        <f t="shared" si="43"/>
        <v>111.1</v>
      </c>
      <c r="K641">
        <v>1300</v>
      </c>
      <c r="N641" t="s">
        <v>54</v>
      </c>
      <c r="Q641" t="s">
        <v>934</v>
      </c>
      <c r="U641">
        <v>4</v>
      </c>
      <c r="W641" t="s">
        <v>1124</v>
      </c>
      <c r="X641" t="s">
        <v>40</v>
      </c>
      <c r="Y641" t="s">
        <v>40</v>
      </c>
      <c r="AA641">
        <f t="shared" si="41"/>
        <v>11.11</v>
      </c>
      <c r="AB641">
        <v>34.9</v>
      </c>
      <c r="AC641">
        <f t="shared" si="42"/>
        <v>9.5662281699972582E-2</v>
      </c>
      <c r="AI641" t="e">
        <f>IF(Y641="Yes",NA(),#REF!)</f>
        <v>#N/A</v>
      </c>
      <c r="AJ641" t="e">
        <f>IF(Y641="Yes",NA(),#REF!)</f>
        <v>#N/A</v>
      </c>
      <c r="AK641" t="e">
        <f>IF(Y641="Yes",NA(),#REF!)</f>
        <v>#N/A</v>
      </c>
    </row>
    <row r="642" spans="1:37" x14ac:dyDescent="0.35">
      <c r="A642" s="12">
        <v>642</v>
      </c>
      <c r="C642">
        <v>64</v>
      </c>
      <c r="E642" s="2">
        <v>5</v>
      </c>
      <c r="F642" s="2">
        <v>5</v>
      </c>
      <c r="G642" t="s">
        <v>63</v>
      </c>
      <c r="H642" t="s">
        <v>64</v>
      </c>
      <c r="J642" s="14">
        <f t="shared" si="43"/>
        <v>138.80000000000001</v>
      </c>
      <c r="K642">
        <v>1300</v>
      </c>
      <c r="N642" t="s">
        <v>54</v>
      </c>
      <c r="Q642" t="s">
        <v>152</v>
      </c>
      <c r="W642" t="s">
        <v>1125</v>
      </c>
      <c r="AA642">
        <f t="shared" si="41"/>
        <v>13.88</v>
      </c>
      <c r="AB642">
        <v>43.6</v>
      </c>
      <c r="AC642">
        <f t="shared" si="42"/>
        <v>0.14930104926920135</v>
      </c>
      <c r="AI642" t="e">
        <f>IF(Y642="Yes",NA(),#REF!)</f>
        <v>#REF!</v>
      </c>
      <c r="AJ642" t="e">
        <f>IF(Y642="Yes",NA(),#REF!)</f>
        <v>#REF!</v>
      </c>
      <c r="AK642" t="e">
        <f>IF(Y642="Yes",NA(),#REF!)</f>
        <v>#REF!</v>
      </c>
    </row>
    <row r="643" spans="1:37" x14ac:dyDescent="0.35">
      <c r="A643" s="12">
        <v>643</v>
      </c>
      <c r="C643">
        <v>64</v>
      </c>
      <c r="E643" s="2">
        <v>3.5</v>
      </c>
      <c r="F643" s="2">
        <v>4.5</v>
      </c>
      <c r="G643" t="s">
        <v>1126</v>
      </c>
      <c r="H643" t="s">
        <v>1127</v>
      </c>
      <c r="J643" s="14">
        <f t="shared" si="43"/>
        <v>103.80000000000001</v>
      </c>
      <c r="K643">
        <v>1300</v>
      </c>
      <c r="N643" t="s">
        <v>54</v>
      </c>
      <c r="Q643" t="s">
        <v>152</v>
      </c>
      <c r="W643" t="s">
        <v>1128</v>
      </c>
      <c r="X643" t="s">
        <v>40</v>
      </c>
      <c r="Y643" t="s">
        <v>40</v>
      </c>
      <c r="AA643">
        <f t="shared" ref="AA643:AA706" si="44">ROUND(AB643/PI(), 2)</f>
        <v>10.38</v>
      </c>
      <c r="AB643">
        <v>32.6</v>
      </c>
      <c r="AC643">
        <f t="shared" si="42"/>
        <v>8.3468975213227228E-2</v>
      </c>
      <c r="AI643" t="e">
        <f>IF(Y643="Yes",NA(),#REF!)</f>
        <v>#N/A</v>
      </c>
      <c r="AJ643" t="e">
        <f>IF(Y643="Yes",NA(),#REF!)</f>
        <v>#N/A</v>
      </c>
      <c r="AK643" t="e">
        <f>IF(Y643="Yes",NA(),#REF!)</f>
        <v>#N/A</v>
      </c>
    </row>
    <row r="644" spans="1:37" x14ac:dyDescent="0.35">
      <c r="A644" s="12">
        <v>644</v>
      </c>
      <c r="C644">
        <v>64</v>
      </c>
      <c r="E644" s="2">
        <v>4</v>
      </c>
      <c r="F644" s="2">
        <v>4</v>
      </c>
      <c r="G644" t="s">
        <v>63</v>
      </c>
      <c r="H644" t="s">
        <v>64</v>
      </c>
      <c r="J644" s="14">
        <f t="shared" si="43"/>
        <v>127.30000000000001</v>
      </c>
      <c r="K644">
        <v>1300</v>
      </c>
      <c r="N644" t="s">
        <v>61</v>
      </c>
      <c r="Q644" t="s">
        <v>38</v>
      </c>
      <c r="W644" t="s">
        <v>1129</v>
      </c>
      <c r="AA644">
        <f t="shared" si="44"/>
        <v>12.73</v>
      </c>
      <c r="AB644">
        <v>40</v>
      </c>
      <c r="AC644">
        <f t="shared" si="42"/>
        <v>0.12566370614359174</v>
      </c>
      <c r="AI644" t="e">
        <f>IF(Y644="Yes",NA(),#REF!)</f>
        <v>#REF!</v>
      </c>
      <c r="AJ644" t="e">
        <f>IF(Y644="Yes",NA(),#REF!)</f>
        <v>#REF!</v>
      </c>
      <c r="AK644" t="e">
        <f>IF(Y644="Yes",NA(),#REF!)</f>
        <v>#REF!</v>
      </c>
    </row>
    <row r="645" spans="1:37" x14ac:dyDescent="0.35">
      <c r="A645" s="12">
        <v>645</v>
      </c>
      <c r="C645">
        <v>64</v>
      </c>
      <c r="E645" s="2">
        <v>4</v>
      </c>
      <c r="F645" s="2">
        <v>1.5</v>
      </c>
      <c r="G645" t="s">
        <v>63</v>
      </c>
      <c r="H645" t="s">
        <v>64</v>
      </c>
      <c r="J645" s="14">
        <f t="shared" si="43"/>
        <v>108.2</v>
      </c>
      <c r="K645">
        <v>1300</v>
      </c>
      <c r="N645" t="s">
        <v>54</v>
      </c>
      <c r="Q645">
        <v>1</v>
      </c>
      <c r="W645" t="s">
        <v>1130</v>
      </c>
      <c r="AA645">
        <f t="shared" si="44"/>
        <v>10.82</v>
      </c>
      <c r="AB645">
        <v>34</v>
      </c>
      <c r="AC645">
        <f t="shared" si="42"/>
        <v>9.0792027688745031E-2</v>
      </c>
      <c r="AI645" t="e">
        <f>IF(Y645="Yes",NA(),#REF!)</f>
        <v>#REF!</v>
      </c>
      <c r="AJ645" t="e">
        <f>IF(Y645="Yes",NA(),#REF!)</f>
        <v>#REF!</v>
      </c>
      <c r="AK645" t="e">
        <f>IF(Y645="Yes",NA(),#REF!)</f>
        <v>#REF!</v>
      </c>
    </row>
    <row r="646" spans="1:37" x14ac:dyDescent="0.35">
      <c r="A646" s="12">
        <v>646</v>
      </c>
      <c r="C646">
        <v>64</v>
      </c>
      <c r="E646" s="2">
        <v>7</v>
      </c>
      <c r="F646" s="2">
        <v>3</v>
      </c>
      <c r="G646" t="s">
        <v>63</v>
      </c>
      <c r="H646" t="s">
        <v>64</v>
      </c>
      <c r="J646" s="14">
        <f t="shared" si="43"/>
        <v>108.2</v>
      </c>
      <c r="K646">
        <v>1300</v>
      </c>
      <c r="N646" t="s">
        <v>54</v>
      </c>
      <c r="Q646" t="s">
        <v>934</v>
      </c>
      <c r="W646" t="s">
        <v>1131</v>
      </c>
      <c r="AA646">
        <f t="shared" si="44"/>
        <v>10.82</v>
      </c>
      <c r="AB646">
        <v>34</v>
      </c>
      <c r="AC646">
        <f t="shared" si="42"/>
        <v>9.0792027688745031E-2</v>
      </c>
      <c r="AI646" t="e">
        <f>IF(Y646="Yes",NA(),#REF!)</f>
        <v>#REF!</v>
      </c>
      <c r="AJ646" t="e">
        <f>IF(Y646="Yes",NA(),#REF!)</f>
        <v>#REF!</v>
      </c>
      <c r="AK646" t="e">
        <f>IF(Y646="Yes",NA(),#REF!)</f>
        <v>#REF!</v>
      </c>
    </row>
    <row r="647" spans="1:37" x14ac:dyDescent="0.35">
      <c r="A647" s="12">
        <v>647</v>
      </c>
      <c r="C647">
        <v>64</v>
      </c>
      <c r="E647" s="2">
        <v>6</v>
      </c>
      <c r="F647" s="2">
        <v>0.1</v>
      </c>
      <c r="G647" t="s">
        <v>114</v>
      </c>
      <c r="H647" t="s">
        <v>35</v>
      </c>
      <c r="J647" s="14">
        <f t="shared" si="43"/>
        <v>110.1</v>
      </c>
      <c r="K647">
        <v>1300</v>
      </c>
      <c r="N647" t="s">
        <v>54</v>
      </c>
      <c r="Q647">
        <v>1</v>
      </c>
      <c r="W647" t="s">
        <v>1132</v>
      </c>
      <c r="X647" t="s">
        <v>40</v>
      </c>
      <c r="Y647" t="s">
        <v>40</v>
      </c>
      <c r="AA647">
        <f t="shared" si="44"/>
        <v>11.01</v>
      </c>
      <c r="AB647">
        <v>34.6</v>
      </c>
      <c r="AC647">
        <f t="shared" si="42"/>
        <v>9.4024726529288921E-2</v>
      </c>
      <c r="AI647" t="e">
        <f>IF(Y647="Yes",NA(),#REF!)</f>
        <v>#N/A</v>
      </c>
      <c r="AJ647" t="e">
        <f>IF(Y647="Yes",NA(),#REF!)</f>
        <v>#N/A</v>
      </c>
      <c r="AK647" t="e">
        <f>IF(Y647="Yes",NA(),#REF!)</f>
        <v>#N/A</v>
      </c>
    </row>
    <row r="648" spans="1:37" x14ac:dyDescent="0.35">
      <c r="A648" s="12">
        <v>648</v>
      </c>
      <c r="C648">
        <v>64</v>
      </c>
      <c r="E648" s="2">
        <v>5.5</v>
      </c>
      <c r="F648" s="2">
        <v>5.5</v>
      </c>
      <c r="G648" t="s">
        <v>59</v>
      </c>
      <c r="H648" t="s">
        <v>423</v>
      </c>
      <c r="J648" s="14">
        <f t="shared" si="43"/>
        <v>303.7</v>
      </c>
      <c r="K648">
        <v>1300</v>
      </c>
      <c r="N648" t="s">
        <v>54</v>
      </c>
      <c r="Q648">
        <v>5</v>
      </c>
      <c r="W648" t="s">
        <v>1133</v>
      </c>
      <c r="X648" t="s">
        <v>40</v>
      </c>
      <c r="Y648" t="s">
        <v>40</v>
      </c>
      <c r="AA648">
        <f t="shared" si="44"/>
        <v>30.37</v>
      </c>
      <c r="AB648" s="26">
        <v>95.4</v>
      </c>
      <c r="AC648">
        <f t="shared" si="42"/>
        <v>0.71480343487863207</v>
      </c>
      <c r="AI648" t="e">
        <f>IF(Y648="Yes",NA(),#REF!)</f>
        <v>#N/A</v>
      </c>
      <c r="AJ648" t="e">
        <f>IF(Y648="Yes",NA(),#REF!)</f>
        <v>#N/A</v>
      </c>
      <c r="AK648" t="e">
        <f>IF(Y648="Yes",NA(),#REF!)</f>
        <v>#N/A</v>
      </c>
    </row>
    <row r="649" spans="1:37" x14ac:dyDescent="0.35">
      <c r="A649" s="12">
        <v>649</v>
      </c>
      <c r="C649">
        <v>64</v>
      </c>
      <c r="E649" s="2">
        <v>7</v>
      </c>
      <c r="F649" s="2">
        <v>6</v>
      </c>
      <c r="G649" t="s">
        <v>63</v>
      </c>
      <c r="H649" t="s">
        <v>64</v>
      </c>
      <c r="J649" s="14">
        <f t="shared" si="43"/>
        <v>106</v>
      </c>
      <c r="K649">
        <v>1300</v>
      </c>
      <c r="N649" t="s">
        <v>61</v>
      </c>
      <c r="Q649" t="s">
        <v>38</v>
      </c>
      <c r="W649" t="s">
        <v>1134</v>
      </c>
      <c r="AA649">
        <f t="shared" si="44"/>
        <v>10.6</v>
      </c>
      <c r="AB649">
        <v>33.299999999999997</v>
      </c>
      <c r="AC649">
        <f t="shared" si="42"/>
        <v>8.7092016940979636E-2</v>
      </c>
      <c r="AI649" t="e">
        <f>IF(Y649="Yes",NA(),#REF!)</f>
        <v>#REF!</v>
      </c>
      <c r="AJ649" t="e">
        <f>IF(Y649="Yes",NA(),#REF!)</f>
        <v>#REF!</v>
      </c>
      <c r="AK649" t="e">
        <f>IF(Y649="Yes",NA(),#REF!)</f>
        <v>#REF!</v>
      </c>
    </row>
    <row r="650" spans="1:37" x14ac:dyDescent="0.35">
      <c r="A650" s="12">
        <v>650</v>
      </c>
      <c r="C650">
        <v>64</v>
      </c>
      <c r="E650" s="2">
        <v>6.5</v>
      </c>
      <c r="F650" s="2">
        <v>1</v>
      </c>
      <c r="G650" t="s">
        <v>114</v>
      </c>
      <c r="H650" t="s">
        <v>35</v>
      </c>
      <c r="J650" s="14">
        <f t="shared" si="43"/>
        <v>127.6</v>
      </c>
      <c r="K650">
        <v>1300</v>
      </c>
      <c r="N650" t="s">
        <v>54</v>
      </c>
      <c r="Q650" t="s">
        <v>152</v>
      </c>
      <c r="U650">
        <v>2</v>
      </c>
      <c r="W650" t="s">
        <v>1135</v>
      </c>
      <c r="X650" t="s">
        <v>40</v>
      </c>
      <c r="Y650" t="s">
        <v>40</v>
      </c>
      <c r="AA650">
        <f t="shared" si="44"/>
        <v>12.76</v>
      </c>
      <c r="AB650">
        <v>40.1</v>
      </c>
      <c r="AC650">
        <f t="shared" si="42"/>
        <v>0.12629281007247309</v>
      </c>
      <c r="AI650" t="e">
        <f>IF(Y650="Yes",NA(),#REF!)</f>
        <v>#N/A</v>
      </c>
      <c r="AJ650" t="e">
        <f>IF(Y650="Yes",NA(),#REF!)</f>
        <v>#N/A</v>
      </c>
      <c r="AK650" t="e">
        <f>IF(Y650="Yes",NA(),#REF!)</f>
        <v>#N/A</v>
      </c>
    </row>
    <row r="651" spans="1:37" x14ac:dyDescent="0.35">
      <c r="A651" s="12">
        <v>651</v>
      </c>
      <c r="C651">
        <v>64</v>
      </c>
      <c r="E651" s="2">
        <v>9</v>
      </c>
      <c r="F651" s="2">
        <v>0.5</v>
      </c>
      <c r="G651" t="s">
        <v>114</v>
      </c>
      <c r="H651" t="s">
        <v>35</v>
      </c>
      <c r="J651" s="14">
        <f t="shared" si="43"/>
        <v>264.20000000000005</v>
      </c>
      <c r="K651">
        <v>1300</v>
      </c>
      <c r="N651" t="s">
        <v>37</v>
      </c>
      <c r="Q651">
        <v>4</v>
      </c>
      <c r="U651">
        <v>3</v>
      </c>
      <c r="W651" t="s">
        <v>1136</v>
      </c>
      <c r="X651" t="s">
        <v>40</v>
      </c>
      <c r="Y651" t="s">
        <v>40</v>
      </c>
      <c r="AA651">
        <f t="shared" si="44"/>
        <v>26.42</v>
      </c>
      <c r="AB651">
        <v>83</v>
      </c>
      <c r="AC651">
        <f t="shared" si="42"/>
        <v>0.54106079476450208</v>
      </c>
      <c r="AI651" t="e">
        <f>IF(Y651="Yes",NA(),#REF!)</f>
        <v>#N/A</v>
      </c>
      <c r="AJ651" t="e">
        <f>IF(Y651="Yes",NA(),#REF!)</f>
        <v>#N/A</v>
      </c>
      <c r="AK651" t="e">
        <f>IF(Y651="Yes",NA(),#REF!)</f>
        <v>#N/A</v>
      </c>
    </row>
    <row r="652" spans="1:37" x14ac:dyDescent="0.35">
      <c r="A652" s="12">
        <v>652</v>
      </c>
      <c r="C652">
        <v>64</v>
      </c>
      <c r="E652" s="2">
        <v>8</v>
      </c>
      <c r="F652" s="2">
        <v>3.5</v>
      </c>
      <c r="G652" t="s">
        <v>114</v>
      </c>
      <c r="H652" t="s">
        <v>35</v>
      </c>
      <c r="J652" s="14">
        <f t="shared" si="43"/>
        <v>374.3</v>
      </c>
      <c r="K652">
        <v>1300</v>
      </c>
      <c r="N652" t="s">
        <v>37</v>
      </c>
      <c r="Q652">
        <v>5</v>
      </c>
      <c r="W652" t="s">
        <v>1137</v>
      </c>
      <c r="X652" t="s">
        <v>40</v>
      </c>
      <c r="Y652" t="s">
        <v>40</v>
      </c>
      <c r="AA652">
        <f t="shared" si="44"/>
        <v>37.43</v>
      </c>
      <c r="AB652">
        <v>117.6</v>
      </c>
      <c r="AC652">
        <f t="shared" si="42"/>
        <v>1.0861868104227492</v>
      </c>
      <c r="AI652" t="e">
        <f>IF(Y652="Yes",NA(),#REF!)</f>
        <v>#N/A</v>
      </c>
      <c r="AJ652" t="e">
        <f>IF(Y652="Yes",NA(),#REF!)</f>
        <v>#N/A</v>
      </c>
      <c r="AK652" t="e">
        <f>IF(Y652="Yes",NA(),#REF!)</f>
        <v>#N/A</v>
      </c>
    </row>
    <row r="653" spans="1:37" x14ac:dyDescent="0.35">
      <c r="A653" s="12">
        <v>653</v>
      </c>
      <c r="C653">
        <v>63</v>
      </c>
      <c r="E653" s="2">
        <v>9.5</v>
      </c>
      <c r="F653" s="2">
        <v>9.5</v>
      </c>
      <c r="G653" t="s">
        <v>1126</v>
      </c>
      <c r="H653" t="s">
        <v>1127</v>
      </c>
      <c r="J653" s="14">
        <f t="shared" si="43"/>
        <v>101.89999999999999</v>
      </c>
      <c r="K653">
        <v>1300</v>
      </c>
      <c r="N653" t="s">
        <v>54</v>
      </c>
      <c r="Q653" t="s">
        <v>55</v>
      </c>
      <c r="W653" t="s">
        <v>1138</v>
      </c>
      <c r="X653" t="s">
        <v>40</v>
      </c>
      <c r="Y653" t="s">
        <v>40</v>
      </c>
      <c r="AA653">
        <f t="shared" si="44"/>
        <v>10.19</v>
      </c>
      <c r="AB653">
        <v>32</v>
      </c>
      <c r="AC653">
        <f t="shared" si="42"/>
        <v>8.0424771931898703E-2</v>
      </c>
      <c r="AI653" t="e">
        <f>IF(Y653="Yes",NA(),#REF!)</f>
        <v>#N/A</v>
      </c>
      <c r="AJ653" t="e">
        <f>IF(Y653="Yes",NA(),#REF!)</f>
        <v>#N/A</v>
      </c>
      <c r="AK653" t="e">
        <f>IF(Y653="Yes",NA(),#REF!)</f>
        <v>#N/A</v>
      </c>
    </row>
    <row r="654" spans="1:37" x14ac:dyDescent="0.35">
      <c r="A654" s="12">
        <v>654</v>
      </c>
      <c r="C654">
        <v>63</v>
      </c>
      <c r="E654" s="2">
        <v>7.5</v>
      </c>
      <c r="F654" s="2">
        <v>7</v>
      </c>
      <c r="G654" t="s">
        <v>63</v>
      </c>
      <c r="H654" t="s">
        <v>64</v>
      </c>
      <c r="J654" s="14">
        <f t="shared" si="43"/>
        <v>106.30000000000001</v>
      </c>
      <c r="K654">
        <v>1300</v>
      </c>
      <c r="N654" t="s">
        <v>54</v>
      </c>
      <c r="Q654">
        <v>1</v>
      </c>
      <c r="W654" t="s">
        <v>1139</v>
      </c>
      <c r="AA654">
        <f t="shared" si="44"/>
        <v>10.63</v>
      </c>
      <c r="AB654">
        <v>33.4</v>
      </c>
      <c r="AC654">
        <f t="shared" si="42"/>
        <v>8.7615877515965737E-2</v>
      </c>
      <c r="AI654" t="e">
        <f>IF(Y654="Yes",NA(),#REF!)</f>
        <v>#REF!</v>
      </c>
      <c r="AJ654" t="e">
        <f>IF(Y654="Yes",NA(),#REF!)</f>
        <v>#REF!</v>
      </c>
      <c r="AK654" t="e">
        <f>IF(Y654="Yes",NA(),#REF!)</f>
        <v>#REF!</v>
      </c>
    </row>
    <row r="655" spans="1:37" x14ac:dyDescent="0.35">
      <c r="A655" s="12">
        <v>655</v>
      </c>
      <c r="C655">
        <v>63</v>
      </c>
      <c r="E655" s="2">
        <v>6</v>
      </c>
      <c r="F655" s="2">
        <v>8</v>
      </c>
      <c r="G655" t="s">
        <v>114</v>
      </c>
      <c r="H655" t="s">
        <v>35</v>
      </c>
      <c r="J655" s="14">
        <f t="shared" si="43"/>
        <v>170</v>
      </c>
      <c r="K655">
        <v>1300</v>
      </c>
      <c r="N655" t="s">
        <v>61</v>
      </c>
      <c r="Q655">
        <v>4</v>
      </c>
      <c r="U655">
        <v>3</v>
      </c>
      <c r="W655" t="s">
        <v>1140</v>
      </c>
      <c r="X655" t="s">
        <v>40</v>
      </c>
      <c r="Y655" t="s">
        <v>40</v>
      </c>
      <c r="AA655">
        <f t="shared" si="44"/>
        <v>17</v>
      </c>
      <c r="AB655">
        <v>53.4</v>
      </c>
      <c r="AC655">
        <f t="shared" si="42"/>
        <v>0.22396099868176275</v>
      </c>
      <c r="AI655" t="e">
        <f>IF(Y655="Yes",NA(),#REF!)</f>
        <v>#N/A</v>
      </c>
      <c r="AJ655" t="e">
        <f>IF(Y655="Yes",NA(),#REF!)</f>
        <v>#N/A</v>
      </c>
      <c r="AK655" t="e">
        <f>IF(Y655="Yes",NA(),#REF!)</f>
        <v>#N/A</v>
      </c>
    </row>
    <row r="656" spans="1:37" x14ac:dyDescent="0.35">
      <c r="A656" s="12">
        <v>656</v>
      </c>
      <c r="C656">
        <v>63</v>
      </c>
      <c r="E656" s="2">
        <v>5.5</v>
      </c>
      <c r="F656" s="2">
        <v>7.5</v>
      </c>
      <c r="G656" t="s">
        <v>114</v>
      </c>
      <c r="H656" t="s">
        <v>35</v>
      </c>
      <c r="J656" s="14">
        <f t="shared" si="43"/>
        <v>136.6</v>
      </c>
      <c r="K656">
        <v>1300</v>
      </c>
      <c r="N656" t="s">
        <v>61</v>
      </c>
      <c r="Q656" t="s">
        <v>55</v>
      </c>
      <c r="U656">
        <v>3</v>
      </c>
      <c r="W656" t="s">
        <v>1141</v>
      </c>
      <c r="X656" t="s">
        <v>40</v>
      </c>
      <c r="Y656" t="s">
        <v>40</v>
      </c>
      <c r="AA656">
        <f t="shared" si="44"/>
        <v>13.66</v>
      </c>
      <c r="AB656">
        <v>42.9</v>
      </c>
      <c r="AC656">
        <f t="shared" si="42"/>
        <v>0.14454546338982976</v>
      </c>
      <c r="AI656" t="e">
        <f>IF(Y656="Yes",NA(),#REF!)</f>
        <v>#N/A</v>
      </c>
      <c r="AJ656" t="e">
        <f>IF(Y656="Yes",NA(),#REF!)</f>
        <v>#N/A</v>
      </c>
      <c r="AK656" t="e">
        <f>IF(Y656="Yes",NA(),#REF!)</f>
        <v>#N/A</v>
      </c>
    </row>
    <row r="657" spans="1:37" x14ac:dyDescent="0.35">
      <c r="A657" s="12">
        <v>657</v>
      </c>
      <c r="C657">
        <v>63</v>
      </c>
      <c r="E657" s="2">
        <v>5</v>
      </c>
      <c r="F657" s="2">
        <v>6</v>
      </c>
      <c r="G657" t="s">
        <v>63</v>
      </c>
      <c r="H657" t="s">
        <v>64</v>
      </c>
      <c r="J657" s="14">
        <f t="shared" si="43"/>
        <v>119</v>
      </c>
      <c r="K657">
        <v>1300</v>
      </c>
      <c r="N657" t="s">
        <v>61</v>
      </c>
      <c r="Q657" t="s">
        <v>152</v>
      </c>
      <c r="U657">
        <v>3</v>
      </c>
      <c r="W657" t="s">
        <v>1142</v>
      </c>
      <c r="AA657">
        <f t="shared" si="44"/>
        <v>11.9</v>
      </c>
      <c r="AB657">
        <v>37.4</v>
      </c>
      <c r="AC657">
        <f t="shared" si="42"/>
        <v>0.10985835350338148</v>
      </c>
      <c r="AI657" t="e">
        <f>IF(Y657="Yes",NA(),#REF!)</f>
        <v>#REF!</v>
      </c>
      <c r="AJ657" t="e">
        <f>IF(Y657="Yes",NA(),#REF!)</f>
        <v>#REF!</v>
      </c>
      <c r="AK657" t="e">
        <f>IF(Y657="Yes",NA(),#REF!)</f>
        <v>#REF!</v>
      </c>
    </row>
    <row r="658" spans="1:37" x14ac:dyDescent="0.35">
      <c r="A658" s="12">
        <v>658</v>
      </c>
      <c r="C658">
        <v>63</v>
      </c>
      <c r="E658" s="2">
        <v>4</v>
      </c>
      <c r="F658" s="2">
        <v>6</v>
      </c>
      <c r="G658" t="s">
        <v>63</v>
      </c>
      <c r="H658" t="s">
        <v>64</v>
      </c>
      <c r="J658" s="14">
        <f t="shared" si="43"/>
        <v>107.30000000000001</v>
      </c>
      <c r="K658">
        <v>1300</v>
      </c>
      <c r="N658" t="s">
        <v>54</v>
      </c>
      <c r="Q658" t="s">
        <v>55</v>
      </c>
      <c r="W658" t="s">
        <v>1143</v>
      </c>
      <c r="AA658">
        <f t="shared" si="44"/>
        <v>10.73</v>
      </c>
      <c r="AB658">
        <v>33.700000000000003</v>
      </c>
      <c r="AC658">
        <f t="shared" si="42"/>
        <v>8.9196884018884828E-2</v>
      </c>
      <c r="AI658" t="e">
        <f>IF(Y658="Yes",NA(),#REF!)</f>
        <v>#REF!</v>
      </c>
      <c r="AJ658" t="e">
        <f>IF(Y658="Yes",NA(),#REF!)</f>
        <v>#REF!</v>
      </c>
      <c r="AK658" t="e">
        <f>IF(Y658="Yes",NA(),#REF!)</f>
        <v>#REF!</v>
      </c>
    </row>
    <row r="659" spans="1:37" x14ac:dyDescent="0.35">
      <c r="A659" s="12">
        <v>659</v>
      </c>
      <c r="C659">
        <v>63</v>
      </c>
      <c r="E659" s="2">
        <v>1.5</v>
      </c>
      <c r="F659" s="2">
        <v>8.5</v>
      </c>
      <c r="G659" t="s">
        <v>63</v>
      </c>
      <c r="H659" t="s">
        <v>64</v>
      </c>
      <c r="J659" s="14">
        <f t="shared" si="43"/>
        <v>122.2</v>
      </c>
      <c r="K659">
        <v>1300</v>
      </c>
      <c r="N659" t="s">
        <v>54</v>
      </c>
      <c r="Q659" t="s">
        <v>152</v>
      </c>
      <c r="W659" t="s">
        <v>1144</v>
      </c>
      <c r="AA659">
        <f t="shared" si="44"/>
        <v>12.22</v>
      </c>
      <c r="AB659">
        <v>38.4</v>
      </c>
      <c r="AC659">
        <f t="shared" si="42"/>
        <v>0.11581167158193414</v>
      </c>
      <c r="AI659" t="e">
        <f>IF(Y659="Yes",NA(),#REF!)</f>
        <v>#REF!</v>
      </c>
      <c r="AJ659" t="e">
        <f>IF(Y659="Yes",NA(),#REF!)</f>
        <v>#REF!</v>
      </c>
      <c r="AK659" t="e">
        <f>IF(Y659="Yes",NA(),#REF!)</f>
        <v>#REF!</v>
      </c>
    </row>
    <row r="660" spans="1:37" x14ac:dyDescent="0.35">
      <c r="A660" s="12">
        <v>660</v>
      </c>
      <c r="C660">
        <v>63</v>
      </c>
      <c r="E660" s="2">
        <v>3.5</v>
      </c>
      <c r="F660" s="2">
        <v>1.8</v>
      </c>
      <c r="G660" t="s">
        <v>63</v>
      </c>
      <c r="H660" t="s">
        <v>728</v>
      </c>
      <c r="J660" s="14">
        <f t="shared" si="43"/>
        <v>123.80000000000001</v>
      </c>
      <c r="K660">
        <v>1300</v>
      </c>
      <c r="N660" t="s">
        <v>54</v>
      </c>
      <c r="Q660" t="s">
        <v>152</v>
      </c>
      <c r="W660" t="s">
        <v>1145</v>
      </c>
      <c r="AA660">
        <f t="shared" si="44"/>
        <v>12.38</v>
      </c>
      <c r="AB660">
        <v>38.9</v>
      </c>
      <c r="AC660">
        <f t="shared" si="42"/>
        <v>0.11884723548346526</v>
      </c>
      <c r="AI660" t="e">
        <f>IF(Y660="Yes",NA(),#REF!)</f>
        <v>#REF!</v>
      </c>
      <c r="AJ660" t="e">
        <f>IF(Y660="Yes",NA(),#REF!)</f>
        <v>#REF!</v>
      </c>
      <c r="AK660" t="e">
        <f>IF(Y660="Yes",NA(),#REF!)</f>
        <v>#REF!</v>
      </c>
    </row>
    <row r="661" spans="1:37" x14ac:dyDescent="0.35">
      <c r="A661" s="12">
        <v>661</v>
      </c>
      <c r="C661">
        <v>63</v>
      </c>
      <c r="E661" s="2">
        <v>3</v>
      </c>
      <c r="F661" s="2">
        <v>2.5</v>
      </c>
      <c r="G661" t="s">
        <v>202</v>
      </c>
      <c r="H661" t="s">
        <v>1146</v>
      </c>
      <c r="J661" s="14">
        <f t="shared" si="43"/>
        <v>138.1</v>
      </c>
      <c r="K661">
        <v>1300</v>
      </c>
      <c r="N661" t="s">
        <v>435</v>
      </c>
      <c r="Q661">
        <v>1</v>
      </c>
      <c r="W661" t="s">
        <v>1147</v>
      </c>
      <c r="X661" t="s">
        <v>40</v>
      </c>
      <c r="Y661" t="s">
        <v>40</v>
      </c>
      <c r="Z661" t="s">
        <v>1148</v>
      </c>
      <c r="AA661">
        <f t="shared" si="44"/>
        <v>13.81</v>
      </c>
      <c r="AB661">
        <v>43.4</v>
      </c>
      <c r="AC661">
        <f t="shared" si="42"/>
        <v>0.14793445646488976</v>
      </c>
      <c r="AI661" t="e">
        <f>IF(Y661="Yes",NA(),#REF!)</f>
        <v>#N/A</v>
      </c>
      <c r="AJ661" t="e">
        <f>IF(Y661="Yes",NA(),#REF!)</f>
        <v>#N/A</v>
      </c>
      <c r="AK661" t="e">
        <f>IF(Y661="Yes",NA(),#REF!)</f>
        <v>#N/A</v>
      </c>
    </row>
    <row r="662" spans="1:37" x14ac:dyDescent="0.35">
      <c r="A662" s="12">
        <v>662</v>
      </c>
      <c r="C662">
        <v>63</v>
      </c>
      <c r="E662" s="2">
        <v>7</v>
      </c>
      <c r="F662" s="2">
        <v>2.5</v>
      </c>
      <c r="G662" t="s">
        <v>63</v>
      </c>
      <c r="H662" t="s">
        <v>64</v>
      </c>
      <c r="J662" s="14">
        <f t="shared" si="43"/>
        <v>111.7</v>
      </c>
      <c r="K662">
        <v>1300</v>
      </c>
      <c r="N662" t="s">
        <v>54</v>
      </c>
      <c r="Q662">
        <v>1</v>
      </c>
      <c r="W662" t="s">
        <v>1149</v>
      </c>
      <c r="AA662">
        <f t="shared" si="44"/>
        <v>11.17</v>
      </c>
      <c r="AB662">
        <v>35.1</v>
      </c>
      <c r="AC662">
        <f t="shared" si="42"/>
        <v>9.676183912872903E-2</v>
      </c>
      <c r="AI662" t="e">
        <f>IF(Y662="Yes",NA(),#REF!)</f>
        <v>#REF!</v>
      </c>
      <c r="AJ662" t="e">
        <f>IF(Y662="Yes",NA(),#REF!)</f>
        <v>#REF!</v>
      </c>
      <c r="AK662" t="e">
        <f>IF(Y662="Yes",NA(),#REF!)</f>
        <v>#REF!</v>
      </c>
    </row>
    <row r="663" spans="1:37" x14ac:dyDescent="0.35">
      <c r="A663" s="12">
        <v>663</v>
      </c>
      <c r="C663">
        <v>63</v>
      </c>
      <c r="E663" s="2">
        <v>8.5</v>
      </c>
      <c r="F663" s="2">
        <v>2</v>
      </c>
      <c r="G663" t="s">
        <v>114</v>
      </c>
      <c r="H663" t="s">
        <v>35</v>
      </c>
      <c r="J663" s="14">
        <f t="shared" si="43"/>
        <v>139.70000000000002</v>
      </c>
      <c r="K663">
        <v>1300</v>
      </c>
      <c r="N663" t="s">
        <v>37</v>
      </c>
      <c r="Q663" t="s">
        <v>38</v>
      </c>
      <c r="R663">
        <v>2</v>
      </c>
      <c r="U663">
        <v>3</v>
      </c>
      <c r="W663" t="s">
        <v>1150</v>
      </c>
      <c r="X663" t="s">
        <v>40</v>
      </c>
      <c r="Y663" t="s">
        <v>40</v>
      </c>
      <c r="Z663" t="s">
        <v>855</v>
      </c>
      <c r="AA663">
        <f t="shared" si="44"/>
        <v>13.97</v>
      </c>
      <c r="AB663">
        <v>43.9</v>
      </c>
      <c r="AC663">
        <f t="shared" si="42"/>
        <v>0.15136271944811963</v>
      </c>
      <c r="AI663" t="e">
        <f>IF(Y663="Yes",NA(),#REF!)</f>
        <v>#N/A</v>
      </c>
      <c r="AJ663" t="e">
        <f>IF(Y663="Yes",NA(),#REF!)</f>
        <v>#N/A</v>
      </c>
      <c r="AK663" t="e">
        <f>IF(Y663="Yes",NA(),#REF!)</f>
        <v>#N/A</v>
      </c>
    </row>
    <row r="664" spans="1:37" x14ac:dyDescent="0.35">
      <c r="A664" s="12">
        <v>664</v>
      </c>
      <c r="C664">
        <v>63</v>
      </c>
      <c r="E664" s="23">
        <v>8</v>
      </c>
      <c r="F664" s="23">
        <v>3.5</v>
      </c>
      <c r="G664" t="s">
        <v>213</v>
      </c>
      <c r="H664" t="s">
        <v>342</v>
      </c>
      <c r="J664" s="14">
        <f t="shared" si="43"/>
        <v>382</v>
      </c>
      <c r="K664">
        <v>1300</v>
      </c>
      <c r="N664" t="s">
        <v>297</v>
      </c>
      <c r="Q664">
        <v>4</v>
      </c>
      <c r="U664">
        <v>2</v>
      </c>
      <c r="W664" t="s">
        <v>1151</v>
      </c>
      <c r="X664" t="s">
        <v>40</v>
      </c>
      <c r="Y664" t="s">
        <v>40</v>
      </c>
      <c r="Z664" t="s">
        <v>307</v>
      </c>
      <c r="AA664">
        <f t="shared" si="44"/>
        <v>38.200000000000003</v>
      </c>
      <c r="AB664" s="26">
        <v>120</v>
      </c>
      <c r="AC664">
        <f t="shared" si="42"/>
        <v>1.1309733552923256</v>
      </c>
      <c r="AI664" t="e">
        <f>IF(Y664="Yes",NA(),#REF!)</f>
        <v>#N/A</v>
      </c>
      <c r="AJ664" t="e">
        <f>IF(Y664="Yes",NA(),#REF!)</f>
        <v>#N/A</v>
      </c>
      <c r="AK664" t="e">
        <f>IF(Y664="Yes",NA(),#REF!)</f>
        <v>#N/A</v>
      </c>
    </row>
    <row r="665" spans="1:37" x14ac:dyDescent="0.35">
      <c r="A665" s="12">
        <v>665</v>
      </c>
      <c r="C665">
        <v>62</v>
      </c>
      <c r="E665" s="2">
        <v>8</v>
      </c>
      <c r="F665" s="2">
        <v>7.5</v>
      </c>
      <c r="G665" t="s">
        <v>1152</v>
      </c>
      <c r="H665" t="s">
        <v>900</v>
      </c>
      <c r="J665" s="14">
        <f t="shared" si="43"/>
        <v>119</v>
      </c>
      <c r="K665">
        <v>1300</v>
      </c>
      <c r="N665" t="s">
        <v>54</v>
      </c>
      <c r="Q665">
        <v>1</v>
      </c>
      <c r="R665">
        <v>2</v>
      </c>
      <c r="U665">
        <v>2</v>
      </c>
      <c r="W665" t="s">
        <v>1153</v>
      </c>
      <c r="X665" t="s">
        <v>40</v>
      </c>
      <c r="Y665" t="s">
        <v>40</v>
      </c>
      <c r="Z665" t="s">
        <v>336</v>
      </c>
      <c r="AA665">
        <f t="shared" si="44"/>
        <v>11.9</v>
      </c>
      <c r="AB665">
        <v>37.4</v>
      </c>
      <c r="AC665">
        <f t="shared" si="42"/>
        <v>0.10985835350338148</v>
      </c>
      <c r="AI665" t="e">
        <f>IF(Y665="Yes",NA(),#REF!)</f>
        <v>#N/A</v>
      </c>
      <c r="AJ665" t="e">
        <f>IF(Y665="Yes",NA(),#REF!)</f>
        <v>#N/A</v>
      </c>
      <c r="AK665" t="e">
        <f>IF(Y665="Yes",NA(),#REF!)</f>
        <v>#N/A</v>
      </c>
    </row>
    <row r="666" spans="1:37" x14ac:dyDescent="0.35">
      <c r="A666" s="12">
        <v>666</v>
      </c>
      <c r="C666">
        <v>62</v>
      </c>
      <c r="E666" s="2">
        <v>8.5</v>
      </c>
      <c r="F666" s="2">
        <v>6</v>
      </c>
      <c r="G666" t="s">
        <v>145</v>
      </c>
      <c r="H666" t="s">
        <v>35</v>
      </c>
      <c r="J666" s="14">
        <f t="shared" si="43"/>
        <v>103.80000000000001</v>
      </c>
      <c r="K666">
        <v>1300</v>
      </c>
      <c r="N666" t="s">
        <v>54</v>
      </c>
      <c r="Q666">
        <v>1</v>
      </c>
      <c r="W666" t="s">
        <v>1154</v>
      </c>
      <c r="X666" t="s">
        <v>40</v>
      </c>
      <c r="Y666" t="s">
        <v>40</v>
      </c>
      <c r="AA666">
        <f t="shared" si="44"/>
        <v>10.38</v>
      </c>
      <c r="AB666">
        <v>32.6</v>
      </c>
      <c r="AC666">
        <f t="shared" si="42"/>
        <v>8.3468975213227228E-2</v>
      </c>
      <c r="AI666" t="e">
        <f>IF(Y666="Yes",NA(),#REF!)</f>
        <v>#N/A</v>
      </c>
      <c r="AJ666" t="e">
        <f>IF(Y666="Yes",NA(),#REF!)</f>
        <v>#N/A</v>
      </c>
      <c r="AK666" t="e">
        <f>IF(Y666="Yes",NA(),#REF!)</f>
        <v>#N/A</v>
      </c>
    </row>
    <row r="667" spans="1:37" x14ac:dyDescent="0.35">
      <c r="A667" s="12">
        <v>667</v>
      </c>
      <c r="C667">
        <v>62</v>
      </c>
      <c r="E667" s="2">
        <v>9</v>
      </c>
      <c r="F667" s="2">
        <v>5.5</v>
      </c>
      <c r="G667" t="s">
        <v>34</v>
      </c>
      <c r="H667" t="s">
        <v>35</v>
      </c>
      <c r="J667" s="14">
        <f t="shared" si="43"/>
        <v>168.1</v>
      </c>
      <c r="K667">
        <v>1300</v>
      </c>
      <c r="N667" t="s">
        <v>37</v>
      </c>
      <c r="Q667">
        <v>5</v>
      </c>
      <c r="U667">
        <v>3</v>
      </c>
      <c r="W667" t="s">
        <v>1155</v>
      </c>
      <c r="X667" t="s">
        <v>40</v>
      </c>
      <c r="Y667" t="s">
        <v>40</v>
      </c>
      <c r="AA667">
        <f t="shared" si="44"/>
        <v>16.809999999999999</v>
      </c>
      <c r="AB667">
        <v>52.8</v>
      </c>
      <c r="AC667">
        <f t="shared" si="42"/>
        <v>0.21895644158459424</v>
      </c>
      <c r="AI667" t="e">
        <f>IF(Y667="Yes",NA(),#REF!)</f>
        <v>#N/A</v>
      </c>
      <c r="AJ667" t="e">
        <f>IF(Y667="Yes",NA(),#REF!)</f>
        <v>#N/A</v>
      </c>
      <c r="AK667" t="e">
        <f>IF(Y667="Yes",NA(),#REF!)</f>
        <v>#N/A</v>
      </c>
    </row>
    <row r="668" spans="1:37" x14ac:dyDescent="0.35">
      <c r="A668" s="12">
        <v>668</v>
      </c>
      <c r="C668">
        <v>62</v>
      </c>
      <c r="E668" s="2">
        <v>2</v>
      </c>
      <c r="F668" s="2">
        <v>4</v>
      </c>
      <c r="G668" t="s">
        <v>114</v>
      </c>
      <c r="H668" t="s">
        <v>35</v>
      </c>
      <c r="J668" s="14">
        <f t="shared" si="43"/>
        <v>144.5</v>
      </c>
      <c r="K668">
        <v>1300</v>
      </c>
      <c r="N668" t="s">
        <v>54</v>
      </c>
      <c r="Q668" t="s">
        <v>38</v>
      </c>
      <c r="W668" t="s">
        <v>1156</v>
      </c>
      <c r="AA668">
        <f t="shared" si="44"/>
        <v>14.45</v>
      </c>
      <c r="AB668">
        <v>45.4</v>
      </c>
      <c r="AC668">
        <f t="shared" si="42"/>
        <v>0.16188312784682843</v>
      </c>
      <c r="AI668" t="e">
        <f>IF(Y668="Yes",NA(),#REF!)</f>
        <v>#REF!</v>
      </c>
      <c r="AJ668" t="e">
        <f>IF(Y668="Yes",NA(),#REF!)</f>
        <v>#REF!</v>
      </c>
      <c r="AK668" t="e">
        <f>IF(Y668="Yes",NA(),#REF!)</f>
        <v>#REF!</v>
      </c>
    </row>
    <row r="669" spans="1:37" x14ac:dyDescent="0.35">
      <c r="A669" s="12">
        <v>669</v>
      </c>
      <c r="C669">
        <v>62</v>
      </c>
      <c r="E669" s="2">
        <v>8</v>
      </c>
      <c r="F669" s="2">
        <v>2</v>
      </c>
      <c r="G669" t="s">
        <v>114</v>
      </c>
      <c r="H669" t="s">
        <v>35</v>
      </c>
      <c r="J669" s="14">
        <f t="shared" si="43"/>
        <v>430</v>
      </c>
      <c r="K669">
        <v>1300</v>
      </c>
      <c r="N669" t="s">
        <v>54</v>
      </c>
      <c r="Q669">
        <v>5</v>
      </c>
      <c r="R669">
        <v>0</v>
      </c>
      <c r="U669">
        <v>5</v>
      </c>
      <c r="W669" t="s">
        <v>1157</v>
      </c>
      <c r="X669" t="s">
        <v>40</v>
      </c>
      <c r="Y669" t="s">
        <v>40</v>
      </c>
      <c r="AA669">
        <f t="shared" si="44"/>
        <v>43</v>
      </c>
      <c r="AB669">
        <v>135.1</v>
      </c>
      <c r="AC669">
        <f t="shared" si="42"/>
        <v>1.4335095132311859</v>
      </c>
      <c r="AI669" t="e">
        <f>IF(Y669="Yes",NA(),#REF!)</f>
        <v>#N/A</v>
      </c>
      <c r="AJ669" t="e">
        <f>IF(Y669="Yes",NA(),#REF!)</f>
        <v>#N/A</v>
      </c>
      <c r="AK669" t="e">
        <f>IF(Y669="Yes",NA(),#REF!)</f>
        <v>#N/A</v>
      </c>
    </row>
    <row r="670" spans="1:37" x14ac:dyDescent="0.35">
      <c r="A670" s="12">
        <v>670</v>
      </c>
      <c r="C670">
        <v>62</v>
      </c>
      <c r="E670" s="2">
        <v>8</v>
      </c>
      <c r="F670" s="2">
        <v>1.8</v>
      </c>
      <c r="G670" t="s">
        <v>145</v>
      </c>
      <c r="H670" t="s">
        <v>1158</v>
      </c>
      <c r="J670" s="14">
        <f t="shared" si="43"/>
        <v>132.10000000000002</v>
      </c>
      <c r="K670">
        <v>1300</v>
      </c>
      <c r="N670" t="s">
        <v>54</v>
      </c>
      <c r="Q670">
        <v>1</v>
      </c>
      <c r="U670">
        <v>2</v>
      </c>
      <c r="W670" t="s">
        <v>1159</v>
      </c>
      <c r="X670" t="s">
        <v>40</v>
      </c>
      <c r="Y670" t="s">
        <v>40</v>
      </c>
      <c r="AA670">
        <f t="shared" si="44"/>
        <v>13.21</v>
      </c>
      <c r="AB670">
        <v>41.5</v>
      </c>
      <c r="AC670">
        <f t="shared" si="42"/>
        <v>0.13526519869112552</v>
      </c>
      <c r="AI670" t="e">
        <f>IF(Y670="Yes",NA(),#REF!)</f>
        <v>#N/A</v>
      </c>
      <c r="AJ670" t="e">
        <f>IF(Y670="Yes",NA(),#REF!)</f>
        <v>#N/A</v>
      </c>
      <c r="AK670" t="e">
        <f>IF(Y670="Yes",NA(),#REF!)</f>
        <v>#N/A</v>
      </c>
    </row>
    <row r="671" spans="1:37" x14ac:dyDescent="0.35">
      <c r="A671" s="12">
        <v>671</v>
      </c>
      <c r="C671">
        <v>62</v>
      </c>
      <c r="E671" s="2">
        <v>6.5</v>
      </c>
      <c r="F671" s="2">
        <v>0.5</v>
      </c>
      <c r="G671" t="s">
        <v>114</v>
      </c>
      <c r="H671" t="s">
        <v>35</v>
      </c>
      <c r="J671" s="14">
        <f t="shared" si="43"/>
        <v>120.60000000000001</v>
      </c>
      <c r="K671">
        <v>1300</v>
      </c>
      <c r="N671" t="s">
        <v>54</v>
      </c>
      <c r="Q671" t="s">
        <v>55</v>
      </c>
      <c r="R671">
        <v>2</v>
      </c>
      <c r="U671">
        <v>2</v>
      </c>
      <c r="W671" t="s">
        <v>1160</v>
      </c>
      <c r="X671" t="s">
        <v>40</v>
      </c>
      <c r="Y671" t="s">
        <v>40</v>
      </c>
      <c r="Z671" t="s">
        <v>1161</v>
      </c>
      <c r="AA671">
        <f t="shared" si="44"/>
        <v>12.06</v>
      </c>
      <c r="AB671">
        <v>37.9</v>
      </c>
      <c r="AC671">
        <f t="shared" si="42"/>
        <v>0.11281537758857285</v>
      </c>
      <c r="AI671" t="e">
        <f>IF(Y671="Yes",NA(),#REF!)</f>
        <v>#N/A</v>
      </c>
      <c r="AJ671" t="e">
        <f>IF(Y671="Yes",NA(),#REF!)</f>
        <v>#N/A</v>
      </c>
      <c r="AK671" t="e">
        <f>IF(Y671="Yes",NA(),#REF!)</f>
        <v>#N/A</v>
      </c>
    </row>
    <row r="672" spans="1:37" x14ac:dyDescent="0.35">
      <c r="A672" s="12">
        <v>672</v>
      </c>
      <c r="C672">
        <v>62</v>
      </c>
      <c r="E672" s="2">
        <v>9</v>
      </c>
      <c r="F672" s="2">
        <v>9.5</v>
      </c>
      <c r="G672" t="s">
        <v>114</v>
      </c>
      <c r="H672" t="s">
        <v>35</v>
      </c>
      <c r="J672" s="14">
        <f t="shared" si="43"/>
        <v>101.5</v>
      </c>
      <c r="K672">
        <v>1300</v>
      </c>
      <c r="N672" t="s">
        <v>54</v>
      </c>
      <c r="Q672">
        <v>1</v>
      </c>
      <c r="W672" t="s">
        <v>1162</v>
      </c>
      <c r="AA672">
        <f t="shared" si="44"/>
        <v>10.15</v>
      </c>
      <c r="AB672">
        <v>31.9</v>
      </c>
      <c r="AC672">
        <f t="shared" si="42"/>
        <v>7.9922902505487725E-2</v>
      </c>
      <c r="AI672" t="e">
        <f>IF(Y672="Yes",NA(),#REF!)</f>
        <v>#REF!</v>
      </c>
      <c r="AJ672" t="e">
        <f>IF(Y672="Yes",NA(),#REF!)</f>
        <v>#REF!</v>
      </c>
      <c r="AK672" t="e">
        <f>IF(Y672="Yes",NA(),#REF!)</f>
        <v>#REF!</v>
      </c>
    </row>
    <row r="673" spans="1:37" x14ac:dyDescent="0.35">
      <c r="A673" s="12">
        <v>673</v>
      </c>
      <c r="C673">
        <v>61</v>
      </c>
      <c r="E673" s="2">
        <v>9.9</v>
      </c>
      <c r="F673" s="2">
        <v>4</v>
      </c>
      <c r="G673" t="s">
        <v>104</v>
      </c>
      <c r="H673" t="s">
        <v>158</v>
      </c>
      <c r="I673" t="s">
        <v>1163</v>
      </c>
      <c r="J673" s="14">
        <f t="shared" si="43"/>
        <v>278.2</v>
      </c>
      <c r="K673">
        <v>1300</v>
      </c>
      <c r="N673" t="s">
        <v>54</v>
      </c>
      <c r="Q673">
        <v>4</v>
      </c>
      <c r="R673">
        <v>1</v>
      </c>
      <c r="W673" t="s">
        <v>1164</v>
      </c>
      <c r="X673" t="s">
        <v>40</v>
      </c>
      <c r="Y673" t="s">
        <v>40</v>
      </c>
      <c r="AA673">
        <f t="shared" si="44"/>
        <v>27.82</v>
      </c>
      <c r="AB673">
        <v>87.4</v>
      </c>
      <c r="AC673">
        <f t="shared" si="42"/>
        <v>0.59994680746338935</v>
      </c>
      <c r="AI673" t="e">
        <f>IF(Y673="Yes",NA(),#REF!)</f>
        <v>#N/A</v>
      </c>
      <c r="AJ673" t="e">
        <f>IF(Y673="Yes",NA(),#REF!)</f>
        <v>#N/A</v>
      </c>
      <c r="AK673" t="e">
        <f>IF(Y673="Yes",NA(),#REF!)</f>
        <v>#N/A</v>
      </c>
    </row>
    <row r="674" spans="1:37" x14ac:dyDescent="0.35">
      <c r="A674" s="12">
        <v>674</v>
      </c>
      <c r="C674">
        <v>61</v>
      </c>
      <c r="E674" s="23">
        <v>9</v>
      </c>
      <c r="F674" s="23">
        <v>3.5</v>
      </c>
      <c r="G674" t="s">
        <v>47</v>
      </c>
      <c r="H674" t="s">
        <v>189</v>
      </c>
      <c r="J674" s="14">
        <f t="shared" si="43"/>
        <v>101.5</v>
      </c>
      <c r="K674">
        <v>1300</v>
      </c>
      <c r="N674" t="s">
        <v>54</v>
      </c>
      <c r="Q674" t="s">
        <v>55</v>
      </c>
      <c r="W674" t="s">
        <v>1165</v>
      </c>
      <c r="X674" t="s">
        <v>40</v>
      </c>
      <c r="Y674" t="s">
        <v>40</v>
      </c>
      <c r="AA674">
        <f t="shared" si="44"/>
        <v>10.15</v>
      </c>
      <c r="AB674" s="26">
        <v>31.9</v>
      </c>
      <c r="AC674">
        <f t="shared" si="42"/>
        <v>7.9922902505487725E-2</v>
      </c>
      <c r="AI674" t="e">
        <f>IF(Y674="Yes",NA(),#REF!)</f>
        <v>#N/A</v>
      </c>
      <c r="AJ674" t="e">
        <f>IF(Y674="Yes",NA(),#REF!)</f>
        <v>#N/A</v>
      </c>
      <c r="AK674" t="e">
        <f>IF(Y674="Yes",NA(),#REF!)</f>
        <v>#N/A</v>
      </c>
    </row>
    <row r="675" spans="1:37" x14ac:dyDescent="0.35">
      <c r="A675" s="12">
        <v>675</v>
      </c>
      <c r="C675">
        <v>61</v>
      </c>
      <c r="E675" s="2">
        <v>2</v>
      </c>
      <c r="F675" s="2">
        <v>2.75</v>
      </c>
      <c r="G675" t="s">
        <v>63</v>
      </c>
      <c r="H675" t="s">
        <v>64</v>
      </c>
      <c r="J675" s="14">
        <f t="shared" si="43"/>
        <v>121.30000000000001</v>
      </c>
      <c r="K675">
        <v>1300</v>
      </c>
      <c r="N675" t="s">
        <v>61</v>
      </c>
      <c r="Q675" t="s">
        <v>55</v>
      </c>
      <c r="W675" t="s">
        <v>1166</v>
      </c>
      <c r="AA675">
        <f t="shared" si="44"/>
        <v>12.13</v>
      </c>
      <c r="AB675">
        <v>38.1</v>
      </c>
      <c r="AC675">
        <f t="shared" si="42"/>
        <v>0.11400918279693702</v>
      </c>
      <c r="AI675" t="e">
        <f>IF(Y675="Yes",NA(),#REF!)</f>
        <v>#REF!</v>
      </c>
      <c r="AJ675" t="e">
        <f>IF(Y675="Yes",NA(),#REF!)</f>
        <v>#REF!</v>
      </c>
      <c r="AK675" t="e">
        <f>IF(Y675="Yes",NA(),#REF!)</f>
        <v>#REF!</v>
      </c>
    </row>
    <row r="676" spans="1:37" x14ac:dyDescent="0.35">
      <c r="A676" s="12">
        <v>676</v>
      </c>
      <c r="C676">
        <v>61</v>
      </c>
      <c r="E676" s="2">
        <v>1.5</v>
      </c>
      <c r="F676" s="2">
        <v>4</v>
      </c>
      <c r="G676" t="s">
        <v>63</v>
      </c>
      <c r="H676" t="s">
        <v>35</v>
      </c>
      <c r="J676" s="14">
        <f t="shared" si="43"/>
        <v>104.1</v>
      </c>
      <c r="K676">
        <v>1300</v>
      </c>
      <c r="N676" t="s">
        <v>54</v>
      </c>
      <c r="Q676">
        <v>1</v>
      </c>
      <c r="W676" t="s">
        <v>1167</v>
      </c>
      <c r="AA676">
        <f t="shared" si="44"/>
        <v>10.41</v>
      </c>
      <c r="AB676">
        <v>32.700000000000003</v>
      </c>
      <c r="AC676">
        <f t="shared" si="42"/>
        <v>8.3981840213925768E-2</v>
      </c>
      <c r="AI676" t="e">
        <f>IF(Y676="Yes",NA(),#REF!)</f>
        <v>#REF!</v>
      </c>
      <c r="AJ676" t="e">
        <f>IF(Y676="Yes",NA(),#REF!)</f>
        <v>#REF!</v>
      </c>
      <c r="AK676" t="e">
        <f>IF(Y676="Yes",NA(),#REF!)</f>
        <v>#REF!</v>
      </c>
    </row>
    <row r="677" spans="1:37" x14ac:dyDescent="0.35">
      <c r="A677" s="12">
        <v>677</v>
      </c>
      <c r="C677">
        <v>61</v>
      </c>
      <c r="G677" t="s">
        <v>66</v>
      </c>
      <c r="H677" t="s">
        <v>67</v>
      </c>
      <c r="J677" s="14">
        <f t="shared" si="43"/>
        <v>270.2</v>
      </c>
      <c r="K677">
        <v>1300</v>
      </c>
      <c r="N677" t="s">
        <v>54</v>
      </c>
      <c r="Q677">
        <v>5</v>
      </c>
      <c r="U677">
        <v>3</v>
      </c>
      <c r="W677" t="s">
        <v>1168</v>
      </c>
      <c r="Y677" t="s">
        <v>426</v>
      </c>
      <c r="AA677">
        <f t="shared" si="44"/>
        <v>27.02</v>
      </c>
      <c r="AB677" s="26">
        <v>84.9</v>
      </c>
      <c r="AC677">
        <f t="shared" si="42"/>
        <v>0.56611578157504416</v>
      </c>
      <c r="AI677" t="e">
        <f>IF(Y677="Yes",NA(),#REF!)</f>
        <v>#N/A</v>
      </c>
      <c r="AJ677" t="e">
        <f>IF(Y677="Yes",NA(),#REF!)</f>
        <v>#N/A</v>
      </c>
      <c r="AK677" t="e">
        <f>IF(Y677="Yes",NA(),#REF!)</f>
        <v>#N/A</v>
      </c>
    </row>
    <row r="678" spans="1:37" x14ac:dyDescent="0.35">
      <c r="A678" s="12">
        <v>678</v>
      </c>
      <c r="C678">
        <v>61</v>
      </c>
      <c r="G678" t="s">
        <v>47</v>
      </c>
      <c r="H678" t="s">
        <v>1169</v>
      </c>
      <c r="I678" t="s">
        <v>1170</v>
      </c>
      <c r="J678" s="14">
        <f t="shared" si="43"/>
        <v>127.6</v>
      </c>
      <c r="K678">
        <v>1300</v>
      </c>
      <c r="N678" t="s">
        <v>61</v>
      </c>
      <c r="Q678" t="s">
        <v>55</v>
      </c>
      <c r="W678" t="s">
        <v>1171</v>
      </c>
      <c r="X678" t="s">
        <v>40</v>
      </c>
      <c r="Y678" t="s">
        <v>40</v>
      </c>
      <c r="AA678">
        <f t="shared" si="44"/>
        <v>12.76</v>
      </c>
      <c r="AB678">
        <v>40.1</v>
      </c>
      <c r="AC678">
        <f t="shared" si="42"/>
        <v>0.12629281007247309</v>
      </c>
      <c r="AI678" t="e">
        <f>IF(Y678="Yes",NA(),#REF!)</f>
        <v>#N/A</v>
      </c>
      <c r="AJ678" t="e">
        <f>IF(Y678="Yes",NA(),#REF!)</f>
        <v>#N/A</v>
      </c>
      <c r="AK678" t="e">
        <f>IF(Y678="Yes",NA(),#REF!)</f>
        <v>#N/A</v>
      </c>
    </row>
    <row r="679" spans="1:37" x14ac:dyDescent="0.35">
      <c r="A679" s="12">
        <v>679</v>
      </c>
      <c r="C679">
        <v>80</v>
      </c>
      <c r="E679" s="23">
        <v>1.5</v>
      </c>
      <c r="F679" s="23">
        <v>4</v>
      </c>
      <c r="G679" t="s">
        <v>231</v>
      </c>
      <c r="H679" t="s">
        <v>232</v>
      </c>
      <c r="J679" s="14">
        <f t="shared" si="43"/>
        <v>200.2</v>
      </c>
      <c r="K679">
        <v>1300</v>
      </c>
      <c r="N679" t="s">
        <v>61</v>
      </c>
      <c r="Q679" t="s">
        <v>934</v>
      </c>
      <c r="U679">
        <v>2</v>
      </c>
      <c r="W679" t="s">
        <v>1172</v>
      </c>
      <c r="X679" t="s">
        <v>40</v>
      </c>
      <c r="Y679" t="s">
        <v>40</v>
      </c>
      <c r="AA679">
        <f t="shared" si="44"/>
        <v>20.02</v>
      </c>
      <c r="AB679" s="26">
        <v>62.9</v>
      </c>
      <c r="AC679">
        <f t="shared" si="42"/>
        <v>0.31073571476472978</v>
      </c>
      <c r="AI679" t="e">
        <f>IF(Y679="Yes",NA(),#REF!)</f>
        <v>#N/A</v>
      </c>
      <c r="AJ679" t="e">
        <f>IF(Y679="Yes",NA(),#REF!)</f>
        <v>#N/A</v>
      </c>
      <c r="AK679" t="e">
        <f>IF(Y679="Yes",NA(),#REF!)</f>
        <v>#N/A</v>
      </c>
    </row>
    <row r="680" spans="1:37" x14ac:dyDescent="0.35">
      <c r="A680" s="12">
        <v>680</v>
      </c>
      <c r="C680">
        <v>80</v>
      </c>
      <c r="E680" s="2">
        <v>5</v>
      </c>
      <c r="F680" s="2">
        <v>3.5</v>
      </c>
      <c r="G680" t="s">
        <v>63</v>
      </c>
      <c r="H680" t="s">
        <v>64</v>
      </c>
      <c r="J680" s="14">
        <f t="shared" si="43"/>
        <v>125.7</v>
      </c>
      <c r="K680">
        <v>1300</v>
      </c>
      <c r="N680" t="s">
        <v>54</v>
      </c>
      <c r="Q680" t="s">
        <v>152</v>
      </c>
      <c r="W680" t="s">
        <v>1173</v>
      </c>
      <c r="AA680">
        <f t="shared" si="44"/>
        <v>12.57</v>
      </c>
      <c r="AB680">
        <v>39.5</v>
      </c>
      <c r="AC680">
        <f t="shared" si="42"/>
        <v>0.12254174844408687</v>
      </c>
      <c r="AI680" t="e">
        <f>IF(Y680="Yes",NA(),#REF!)</f>
        <v>#REF!</v>
      </c>
      <c r="AJ680" t="e">
        <f>IF(Y680="Yes",NA(),#REF!)</f>
        <v>#REF!</v>
      </c>
      <c r="AK680" t="e">
        <f>IF(Y680="Yes",NA(),#REF!)</f>
        <v>#REF!</v>
      </c>
    </row>
    <row r="681" spans="1:37" x14ac:dyDescent="0.35">
      <c r="A681" s="12">
        <v>681</v>
      </c>
      <c r="C681">
        <v>80</v>
      </c>
      <c r="E681" s="2">
        <v>2</v>
      </c>
      <c r="F681" s="2">
        <v>3</v>
      </c>
      <c r="G681" t="s">
        <v>114</v>
      </c>
      <c r="H681" t="s">
        <v>35</v>
      </c>
      <c r="J681" s="14">
        <f t="shared" si="43"/>
        <v>227.3</v>
      </c>
      <c r="K681">
        <v>1300</v>
      </c>
      <c r="N681" t="s">
        <v>37</v>
      </c>
      <c r="Q681" t="s">
        <v>38</v>
      </c>
      <c r="U681">
        <v>3</v>
      </c>
      <c r="W681" t="s">
        <v>1174</v>
      </c>
      <c r="X681" t="s">
        <v>40</v>
      </c>
      <c r="Y681" t="s">
        <v>40</v>
      </c>
      <c r="AA681">
        <f t="shared" si="44"/>
        <v>22.73</v>
      </c>
      <c r="AB681">
        <v>71.400000000000006</v>
      </c>
      <c r="AC681">
        <f t="shared" si="42"/>
        <v>0.40039284210736559</v>
      </c>
      <c r="AI681" t="e">
        <f>IF(Y681="Yes",NA(),#REF!)</f>
        <v>#N/A</v>
      </c>
      <c r="AJ681" t="e">
        <f>IF(Y681="Yes",NA(),#REF!)</f>
        <v>#N/A</v>
      </c>
      <c r="AK681" t="e">
        <f>IF(Y681="Yes",NA(),#REF!)</f>
        <v>#N/A</v>
      </c>
    </row>
    <row r="682" spans="1:37" x14ac:dyDescent="0.35">
      <c r="A682" s="12">
        <v>682</v>
      </c>
      <c r="C682">
        <v>80</v>
      </c>
      <c r="E682" s="2">
        <v>7</v>
      </c>
      <c r="F682" s="2">
        <v>7</v>
      </c>
      <c r="G682" t="s">
        <v>63</v>
      </c>
      <c r="H682" t="s">
        <v>64</v>
      </c>
      <c r="I682" t="s">
        <v>307</v>
      </c>
      <c r="J682" s="14">
        <f t="shared" si="43"/>
        <v>121</v>
      </c>
      <c r="K682">
        <v>1300</v>
      </c>
      <c r="N682" t="s">
        <v>54</v>
      </c>
      <c r="Q682">
        <v>1</v>
      </c>
      <c r="W682" t="s">
        <v>1175</v>
      </c>
      <c r="AA682">
        <f t="shared" si="44"/>
        <v>12.1</v>
      </c>
      <c r="AB682">
        <v>38</v>
      </c>
      <c r="AC682">
        <f t="shared" si="42"/>
        <v>0.11341149479459152</v>
      </c>
      <c r="AI682" t="e">
        <f>IF(Y682="Yes",NA(),#REF!)</f>
        <v>#REF!</v>
      </c>
      <c r="AJ682" t="e">
        <f>IF(Y682="Yes",NA(),#REF!)</f>
        <v>#REF!</v>
      </c>
      <c r="AK682" t="e">
        <f>IF(Y682="Yes",NA(),#REF!)</f>
        <v>#REF!</v>
      </c>
    </row>
    <row r="683" spans="1:37" x14ac:dyDescent="0.35">
      <c r="A683" s="12">
        <v>683</v>
      </c>
      <c r="C683">
        <v>80</v>
      </c>
      <c r="E683" s="2">
        <v>6.5</v>
      </c>
      <c r="F683" s="2">
        <v>8</v>
      </c>
      <c r="G683" t="s">
        <v>63</v>
      </c>
      <c r="H683" t="s">
        <v>64</v>
      </c>
      <c r="J683" s="14">
        <f t="shared" si="43"/>
        <v>133.4</v>
      </c>
      <c r="K683">
        <v>1300</v>
      </c>
      <c r="N683" t="s">
        <v>54</v>
      </c>
      <c r="Q683">
        <v>1</v>
      </c>
      <c r="W683" t="s">
        <v>1176</v>
      </c>
      <c r="AA683">
        <f t="shared" si="44"/>
        <v>13.34</v>
      </c>
      <c r="AB683">
        <v>41.9</v>
      </c>
      <c r="AC683">
        <f t="shared" si="42"/>
        <v>0.13788528696421939</v>
      </c>
      <c r="AI683" t="e">
        <f>IF(Y683="Yes",NA(),#REF!)</f>
        <v>#REF!</v>
      </c>
      <c r="AJ683" t="e">
        <f>IF(Y683="Yes",NA(),#REF!)</f>
        <v>#REF!</v>
      </c>
      <c r="AK683" t="e">
        <f>IF(Y683="Yes",NA(),#REF!)</f>
        <v>#REF!</v>
      </c>
    </row>
    <row r="684" spans="1:37" x14ac:dyDescent="0.35">
      <c r="A684" s="12">
        <v>684</v>
      </c>
      <c r="C684">
        <v>80</v>
      </c>
      <c r="E684" s="2">
        <v>8</v>
      </c>
      <c r="F684" s="2">
        <v>7.5</v>
      </c>
      <c r="G684" t="s">
        <v>213</v>
      </c>
      <c r="H684" t="s">
        <v>477</v>
      </c>
      <c r="J684" s="14">
        <f t="shared" si="43"/>
        <v>140.1</v>
      </c>
      <c r="K684">
        <v>1300</v>
      </c>
      <c r="N684" t="s">
        <v>54</v>
      </c>
      <c r="Q684" t="s">
        <v>152</v>
      </c>
      <c r="U684">
        <v>2</v>
      </c>
      <c r="W684" t="s">
        <v>1177</v>
      </c>
      <c r="X684" t="s">
        <v>40</v>
      </c>
      <c r="Y684" t="s">
        <v>40</v>
      </c>
      <c r="Z684" t="s">
        <v>1178</v>
      </c>
      <c r="AA684">
        <f t="shared" si="44"/>
        <v>14.01</v>
      </c>
      <c r="AB684">
        <v>44</v>
      </c>
      <c r="AC684">
        <f t="shared" si="42"/>
        <v>0.15205308443374596</v>
      </c>
      <c r="AI684" t="e">
        <f>IF(Y684="Yes",NA(),#REF!)</f>
        <v>#N/A</v>
      </c>
      <c r="AJ684" t="e">
        <f>IF(Y684="Yes",NA(),#REF!)</f>
        <v>#N/A</v>
      </c>
      <c r="AK684" t="e">
        <f>IF(Y684="Yes",NA(),#REF!)</f>
        <v>#N/A</v>
      </c>
    </row>
    <row r="685" spans="1:37" x14ac:dyDescent="0.35">
      <c r="A685" s="12">
        <v>685</v>
      </c>
      <c r="C685">
        <v>80</v>
      </c>
      <c r="E685" s="2">
        <v>3</v>
      </c>
      <c r="F685" s="2">
        <v>8</v>
      </c>
      <c r="G685" t="s">
        <v>63</v>
      </c>
      <c r="H685" t="s">
        <v>64</v>
      </c>
      <c r="J685" s="14">
        <f t="shared" si="43"/>
        <v>110.8</v>
      </c>
      <c r="K685">
        <v>1300</v>
      </c>
      <c r="N685" t="s">
        <v>54</v>
      </c>
      <c r="Q685">
        <v>1</v>
      </c>
      <c r="W685" t="s">
        <v>1179</v>
      </c>
      <c r="AA685">
        <f t="shared" si="44"/>
        <v>11.08</v>
      </c>
      <c r="AB685">
        <v>34.799999999999997</v>
      </c>
      <c r="AC685">
        <f t="shared" si="42"/>
        <v>9.5114859180084568E-2</v>
      </c>
      <c r="AI685" t="e">
        <f>IF(Y685="Yes",NA(),#REF!)</f>
        <v>#REF!</v>
      </c>
      <c r="AJ685" t="e">
        <f>IF(Y685="Yes",NA(),#REF!)</f>
        <v>#REF!</v>
      </c>
      <c r="AK685" t="e">
        <f>IF(Y685="Yes",NA(),#REF!)</f>
        <v>#REF!</v>
      </c>
    </row>
    <row r="686" spans="1:37" x14ac:dyDescent="0.35">
      <c r="A686" s="12">
        <v>686</v>
      </c>
      <c r="C686">
        <v>80</v>
      </c>
      <c r="E686" s="2">
        <v>0.5</v>
      </c>
      <c r="F686" s="2">
        <v>8.5</v>
      </c>
      <c r="G686" t="s">
        <v>47</v>
      </c>
      <c r="H686" t="s">
        <v>35</v>
      </c>
      <c r="J686" s="14">
        <f t="shared" si="43"/>
        <v>156</v>
      </c>
      <c r="K686">
        <v>1300</v>
      </c>
      <c r="N686" t="s">
        <v>54</v>
      </c>
      <c r="Q686" t="s">
        <v>38</v>
      </c>
      <c r="U686">
        <v>2</v>
      </c>
      <c r="W686" t="s">
        <v>1180</v>
      </c>
      <c r="Y686" t="s">
        <v>426</v>
      </c>
      <c r="AA686">
        <f t="shared" si="44"/>
        <v>15.6</v>
      </c>
      <c r="AB686">
        <v>49</v>
      </c>
      <c r="AC686">
        <f t="shared" si="42"/>
        <v>0.18857409903172731</v>
      </c>
      <c r="AI686" t="e">
        <f>IF(Y686="Yes",NA(),#REF!)</f>
        <v>#N/A</v>
      </c>
      <c r="AJ686" t="e">
        <f>IF(Y686="Yes",NA(),#REF!)</f>
        <v>#N/A</v>
      </c>
      <c r="AK686" t="e">
        <f>IF(Y686="Yes",NA(),#REF!)</f>
        <v>#N/A</v>
      </c>
    </row>
    <row r="687" spans="1:37" x14ac:dyDescent="0.35">
      <c r="A687" s="12">
        <v>687</v>
      </c>
      <c r="C687">
        <v>79</v>
      </c>
      <c r="E687" s="2">
        <v>3</v>
      </c>
      <c r="F687" s="2">
        <v>2</v>
      </c>
      <c r="G687" t="s">
        <v>114</v>
      </c>
      <c r="H687" t="s">
        <v>35</v>
      </c>
      <c r="J687" s="14">
        <f t="shared" si="43"/>
        <v>152.20000000000002</v>
      </c>
      <c r="K687">
        <v>1300</v>
      </c>
      <c r="N687" t="s">
        <v>54</v>
      </c>
      <c r="Q687" t="s">
        <v>152</v>
      </c>
      <c r="W687" t="s">
        <v>1181</v>
      </c>
      <c r="X687" t="s">
        <v>40</v>
      </c>
      <c r="Y687" t="s">
        <v>40</v>
      </c>
      <c r="Z687" t="s">
        <v>1182</v>
      </c>
      <c r="AA687">
        <f t="shared" si="44"/>
        <v>15.22</v>
      </c>
      <c r="AB687">
        <v>47.8</v>
      </c>
      <c r="AC687">
        <f t="shared" si="42"/>
        <v>0.17945091396570256</v>
      </c>
      <c r="AI687" t="e">
        <f>IF(Y687="Yes",NA(),#REF!)</f>
        <v>#N/A</v>
      </c>
      <c r="AJ687" t="e">
        <f>IF(Y687="Yes",NA(),#REF!)</f>
        <v>#N/A</v>
      </c>
      <c r="AK687" t="e">
        <f>IF(Y687="Yes",NA(),#REF!)</f>
        <v>#N/A</v>
      </c>
    </row>
    <row r="688" spans="1:37" x14ac:dyDescent="0.35">
      <c r="A688" s="12">
        <v>688</v>
      </c>
      <c r="C688">
        <v>79</v>
      </c>
      <c r="E688" s="2">
        <v>4</v>
      </c>
      <c r="F688" s="2">
        <v>3</v>
      </c>
      <c r="G688" t="s">
        <v>114</v>
      </c>
      <c r="H688" t="s">
        <v>35</v>
      </c>
      <c r="J688" s="14">
        <f t="shared" si="43"/>
        <v>217.10000000000002</v>
      </c>
      <c r="K688">
        <v>1300</v>
      </c>
      <c r="N688" t="s">
        <v>37</v>
      </c>
      <c r="Q688" t="s">
        <v>38</v>
      </c>
      <c r="U688">
        <v>4</v>
      </c>
      <c r="W688" t="s">
        <v>1183</v>
      </c>
      <c r="X688" t="s">
        <v>40</v>
      </c>
      <c r="Y688" t="s">
        <v>40</v>
      </c>
      <c r="AA688">
        <f t="shared" si="44"/>
        <v>21.71</v>
      </c>
      <c r="AB688">
        <v>68.2</v>
      </c>
      <c r="AC688">
        <f t="shared" si="42"/>
        <v>0.36530753535207477</v>
      </c>
      <c r="AI688" t="e">
        <f>IF(Y688="Yes",NA(),#REF!)</f>
        <v>#N/A</v>
      </c>
      <c r="AJ688" t="e">
        <f>IF(Y688="Yes",NA(),#REF!)</f>
        <v>#N/A</v>
      </c>
      <c r="AK688" t="e">
        <f>IF(Y688="Yes",NA(),#REF!)</f>
        <v>#N/A</v>
      </c>
    </row>
    <row r="689" spans="1:37" x14ac:dyDescent="0.35">
      <c r="A689" s="12">
        <v>689</v>
      </c>
      <c r="C689">
        <v>79</v>
      </c>
      <c r="E689" s="2">
        <v>3.5</v>
      </c>
      <c r="F689" s="2">
        <v>1</v>
      </c>
      <c r="G689" t="s">
        <v>63</v>
      </c>
      <c r="H689" t="s">
        <v>64</v>
      </c>
      <c r="J689" s="14">
        <f t="shared" si="43"/>
        <v>127</v>
      </c>
      <c r="K689">
        <v>1300</v>
      </c>
      <c r="N689" t="s">
        <v>54</v>
      </c>
      <c r="Q689" t="s">
        <v>38</v>
      </c>
      <c r="W689" t="s">
        <v>1184</v>
      </c>
      <c r="AA689">
        <f t="shared" si="44"/>
        <v>12.7</v>
      </c>
      <c r="AB689">
        <v>39.9</v>
      </c>
      <c r="AC689">
        <f t="shared" si="42"/>
        <v>0.12503617301103717</v>
      </c>
      <c r="AI689" t="e">
        <f>IF(Y689="Yes",NA(),#REF!)</f>
        <v>#REF!</v>
      </c>
      <c r="AJ689" t="e">
        <f>IF(Y689="Yes",NA(),#REF!)</f>
        <v>#REF!</v>
      </c>
      <c r="AK689" t="e">
        <f>IF(Y689="Yes",NA(),#REF!)</f>
        <v>#REF!</v>
      </c>
    </row>
    <row r="690" spans="1:37" x14ac:dyDescent="0.35">
      <c r="A690" s="12">
        <v>690</v>
      </c>
      <c r="C690">
        <v>79</v>
      </c>
      <c r="E690" s="2">
        <v>9</v>
      </c>
      <c r="F690" s="2">
        <v>1.5</v>
      </c>
      <c r="G690" t="s">
        <v>63</v>
      </c>
      <c r="H690" t="s">
        <v>64</v>
      </c>
      <c r="J690" s="14">
        <f t="shared" si="43"/>
        <v>114.3</v>
      </c>
      <c r="K690">
        <v>1300</v>
      </c>
      <c r="N690" t="s">
        <v>54</v>
      </c>
      <c r="Q690" t="s">
        <v>38</v>
      </c>
      <c r="W690" t="s">
        <v>1185</v>
      </c>
      <c r="AA690">
        <f t="shared" si="44"/>
        <v>11.43</v>
      </c>
      <c r="AB690">
        <v>35.9</v>
      </c>
      <c r="AC690">
        <f t="shared" si="42"/>
        <v>0.10122290069682653</v>
      </c>
      <c r="AI690" t="e">
        <f>IF(Y690="Yes",NA(),#REF!)</f>
        <v>#REF!</v>
      </c>
      <c r="AJ690" t="e">
        <f>IF(Y690="Yes",NA(),#REF!)</f>
        <v>#REF!</v>
      </c>
      <c r="AK690" t="e">
        <f>IF(Y690="Yes",NA(),#REF!)</f>
        <v>#REF!</v>
      </c>
    </row>
    <row r="691" spans="1:37" x14ac:dyDescent="0.35">
      <c r="A691" s="12">
        <v>691</v>
      </c>
      <c r="C691">
        <v>79</v>
      </c>
      <c r="E691" s="2">
        <v>5</v>
      </c>
      <c r="F691" s="2">
        <v>7</v>
      </c>
      <c r="G691" t="s">
        <v>63</v>
      </c>
      <c r="H691" t="s">
        <v>64</v>
      </c>
      <c r="J691" s="14">
        <f t="shared" si="43"/>
        <v>125.39999999999999</v>
      </c>
      <c r="K691">
        <v>1300</v>
      </c>
      <c r="N691" t="s">
        <v>54</v>
      </c>
      <c r="Q691" t="s">
        <v>38</v>
      </c>
      <c r="W691" t="s">
        <v>1186</v>
      </c>
      <c r="AA691">
        <f t="shared" si="44"/>
        <v>12.54</v>
      </c>
      <c r="AB691">
        <v>39.4</v>
      </c>
      <c r="AC691">
        <f t="shared" si="42"/>
        <v>0.12192206929316626</v>
      </c>
      <c r="AI691" t="e">
        <f>IF(Y691="Yes",NA(),#REF!)</f>
        <v>#REF!</v>
      </c>
      <c r="AJ691" t="e">
        <f>IF(Y691="Yes",NA(),#REF!)</f>
        <v>#REF!</v>
      </c>
      <c r="AK691" t="e">
        <f>IF(Y691="Yes",NA(),#REF!)</f>
        <v>#REF!</v>
      </c>
    </row>
    <row r="692" spans="1:37" x14ac:dyDescent="0.35">
      <c r="A692" s="12">
        <v>692</v>
      </c>
      <c r="C692">
        <v>78</v>
      </c>
      <c r="E692" s="2">
        <v>2</v>
      </c>
      <c r="F692" s="2">
        <v>7</v>
      </c>
      <c r="G692" t="s">
        <v>63</v>
      </c>
      <c r="H692" t="s">
        <v>64</v>
      </c>
      <c r="J692" s="14">
        <f t="shared" si="43"/>
        <v>124.5</v>
      </c>
      <c r="K692">
        <v>1300</v>
      </c>
      <c r="N692" t="s">
        <v>54</v>
      </c>
      <c r="Q692" t="s">
        <v>934</v>
      </c>
      <c r="W692" t="s">
        <v>1187</v>
      </c>
      <c r="AA692">
        <f t="shared" si="44"/>
        <v>12.45</v>
      </c>
      <c r="AB692">
        <v>39.1</v>
      </c>
      <c r="AC692">
        <f t="shared" si="42"/>
        <v>0.1200724566183653</v>
      </c>
      <c r="AI692" t="e">
        <f>IF(Y692="Yes",NA(),#REF!)</f>
        <v>#REF!</v>
      </c>
      <c r="AJ692" t="e">
        <f>IF(Y692="Yes",NA(),#REF!)</f>
        <v>#REF!</v>
      </c>
      <c r="AK692" t="e">
        <f>IF(Y692="Yes",NA(),#REF!)</f>
        <v>#REF!</v>
      </c>
    </row>
    <row r="693" spans="1:37" x14ac:dyDescent="0.35">
      <c r="A693" s="12">
        <v>693</v>
      </c>
      <c r="C693">
        <v>78</v>
      </c>
      <c r="E693" s="2">
        <v>3</v>
      </c>
      <c r="F693" s="2">
        <v>2</v>
      </c>
      <c r="G693" t="s">
        <v>63</v>
      </c>
      <c r="H693" t="s">
        <v>64</v>
      </c>
      <c r="J693" s="14">
        <f t="shared" si="43"/>
        <v>149.9</v>
      </c>
      <c r="K693">
        <v>1300</v>
      </c>
      <c r="N693" t="s">
        <v>297</v>
      </c>
      <c r="Q693" t="s">
        <v>38</v>
      </c>
      <c r="W693" t="s">
        <v>1188</v>
      </c>
      <c r="AA693">
        <f t="shared" si="44"/>
        <v>14.99</v>
      </c>
      <c r="AB693">
        <v>47.1</v>
      </c>
      <c r="AC693">
        <f t="shared" si="42"/>
        <v>0.17423351396625333</v>
      </c>
      <c r="AI693" t="e">
        <f>IF(Y693="Yes",NA(),#REF!)</f>
        <v>#REF!</v>
      </c>
      <c r="AJ693" t="e">
        <f>IF(Y693="Yes",NA(),#REF!)</f>
        <v>#REF!</v>
      </c>
      <c r="AK693" t="e">
        <f>IF(Y693="Yes",NA(),#REF!)</f>
        <v>#REF!</v>
      </c>
    </row>
    <row r="694" spans="1:37" x14ac:dyDescent="0.35">
      <c r="A694" s="12">
        <v>694</v>
      </c>
      <c r="C694">
        <v>78</v>
      </c>
      <c r="E694" s="2">
        <v>8.5</v>
      </c>
      <c r="F694" s="2">
        <v>2.5</v>
      </c>
      <c r="G694" t="s">
        <v>63</v>
      </c>
      <c r="H694" t="s">
        <v>64</v>
      </c>
      <c r="J694" s="14">
        <f t="shared" si="43"/>
        <v>140.39999999999998</v>
      </c>
      <c r="K694">
        <v>1300</v>
      </c>
      <c r="N694" t="s">
        <v>54</v>
      </c>
      <c r="Q694">
        <v>4</v>
      </c>
      <c r="W694" t="s">
        <v>1189</v>
      </c>
      <c r="AA694">
        <f t="shared" si="44"/>
        <v>14.04</v>
      </c>
      <c r="AB694">
        <v>44.1</v>
      </c>
      <c r="AC694">
        <f t="shared" ref="AC694:AC757" si="45">PI()*(AB694/2)*(AB694/2)/10000</f>
        <v>0.15274502021569916</v>
      </c>
      <c r="AI694" t="e">
        <f>IF(Y694="Yes",NA(),#REF!)</f>
        <v>#REF!</v>
      </c>
      <c r="AJ694" t="e">
        <f>IF(Y694="Yes",NA(),#REF!)</f>
        <v>#REF!</v>
      </c>
      <c r="AK694" t="e">
        <f>IF(Y694="Yes",NA(),#REF!)</f>
        <v>#REF!</v>
      </c>
    </row>
    <row r="695" spans="1:37" x14ac:dyDescent="0.35">
      <c r="A695" s="12">
        <v>695</v>
      </c>
      <c r="C695">
        <v>78</v>
      </c>
      <c r="E695" s="2">
        <v>7.5</v>
      </c>
      <c r="F695" s="2">
        <v>3</v>
      </c>
      <c r="G695" t="s">
        <v>495</v>
      </c>
      <c r="H695" t="s">
        <v>1190</v>
      </c>
      <c r="J695" s="14">
        <f t="shared" si="43"/>
        <v>105</v>
      </c>
      <c r="K695">
        <v>1300</v>
      </c>
      <c r="N695" t="s">
        <v>297</v>
      </c>
      <c r="Q695">
        <v>1</v>
      </c>
      <c r="U695">
        <v>3</v>
      </c>
      <c r="W695" t="s">
        <v>1191</v>
      </c>
      <c r="X695" t="s">
        <v>40</v>
      </c>
      <c r="Y695" t="s">
        <v>40</v>
      </c>
      <c r="AA695">
        <f t="shared" si="44"/>
        <v>10.5</v>
      </c>
      <c r="AB695">
        <v>33</v>
      </c>
      <c r="AC695">
        <f t="shared" si="45"/>
        <v>8.5529859993982119E-2</v>
      </c>
      <c r="AI695" t="e">
        <f>IF(Y695="Yes",NA(),#REF!)</f>
        <v>#N/A</v>
      </c>
      <c r="AJ695" t="e">
        <f>IF(Y695="Yes",NA(),#REF!)</f>
        <v>#N/A</v>
      </c>
      <c r="AK695" t="e">
        <f>IF(Y695="Yes",NA(),#REF!)</f>
        <v>#N/A</v>
      </c>
    </row>
    <row r="696" spans="1:37" x14ac:dyDescent="0.35">
      <c r="A696" s="12">
        <v>696</v>
      </c>
      <c r="C696">
        <v>78</v>
      </c>
      <c r="E696" s="2">
        <v>7.5</v>
      </c>
      <c r="F696" s="2">
        <v>7</v>
      </c>
      <c r="G696" t="s">
        <v>63</v>
      </c>
      <c r="H696" t="s">
        <v>64</v>
      </c>
      <c r="J696" s="14">
        <f t="shared" ref="J696:J759" si="46">ROUND(AB696/PI(), 2)*10</f>
        <v>128.9</v>
      </c>
      <c r="K696">
        <v>1300</v>
      </c>
      <c r="N696" t="s">
        <v>54</v>
      </c>
      <c r="Q696" t="s">
        <v>934</v>
      </c>
      <c r="W696" t="s">
        <v>1192</v>
      </c>
      <c r="AA696">
        <f t="shared" si="44"/>
        <v>12.89</v>
      </c>
      <c r="AB696">
        <v>40.5</v>
      </c>
      <c r="AC696">
        <f t="shared" si="45"/>
        <v>0.12882493375126644</v>
      </c>
      <c r="AI696" t="e">
        <f>IF(Y696="Yes",NA(),#REF!)</f>
        <v>#REF!</v>
      </c>
      <c r="AJ696" t="e">
        <f>IF(Y696="Yes",NA(),#REF!)</f>
        <v>#REF!</v>
      </c>
      <c r="AK696" t="e">
        <f>IF(Y696="Yes",NA(),#REF!)</f>
        <v>#REF!</v>
      </c>
    </row>
    <row r="697" spans="1:37" x14ac:dyDescent="0.35">
      <c r="A697" s="12">
        <v>697</v>
      </c>
      <c r="C697">
        <v>78</v>
      </c>
      <c r="E697" s="23">
        <v>8.5</v>
      </c>
      <c r="F697" s="23">
        <v>6.7</v>
      </c>
      <c r="G697" t="s">
        <v>886</v>
      </c>
      <c r="H697" t="s">
        <v>887</v>
      </c>
      <c r="J697" s="14">
        <f t="shared" si="46"/>
        <v>170.3</v>
      </c>
      <c r="K697">
        <v>1300</v>
      </c>
      <c r="N697" t="s">
        <v>54</v>
      </c>
      <c r="Q697">
        <v>4</v>
      </c>
      <c r="W697" t="s">
        <v>1193</v>
      </c>
      <c r="X697" t="s">
        <v>40</v>
      </c>
      <c r="Y697" t="s">
        <v>40</v>
      </c>
      <c r="AA697">
        <f t="shared" si="44"/>
        <v>17.03</v>
      </c>
      <c r="AB697" s="26">
        <v>53.5</v>
      </c>
      <c r="AC697">
        <f t="shared" si="45"/>
        <v>0.22480058931843463</v>
      </c>
      <c r="AI697" t="e">
        <f>IF(Y697="Yes",NA(),#REF!)</f>
        <v>#N/A</v>
      </c>
      <c r="AJ697" t="e">
        <f>IF(Y697="Yes",NA(),#REF!)</f>
        <v>#N/A</v>
      </c>
      <c r="AK697" t="e">
        <f>IF(Y697="Yes",NA(),#REF!)</f>
        <v>#N/A</v>
      </c>
    </row>
    <row r="698" spans="1:37" x14ac:dyDescent="0.35">
      <c r="A698" s="12">
        <v>698</v>
      </c>
      <c r="C698">
        <v>78</v>
      </c>
      <c r="E698" s="2">
        <v>6.5</v>
      </c>
      <c r="F698" s="2">
        <v>6</v>
      </c>
      <c r="G698" t="s">
        <v>63</v>
      </c>
      <c r="H698" t="s">
        <v>64</v>
      </c>
      <c r="J698" s="14">
        <f t="shared" si="46"/>
        <v>122.89999999999999</v>
      </c>
      <c r="K698">
        <v>1300</v>
      </c>
      <c r="N698" t="s">
        <v>54</v>
      </c>
      <c r="Q698" t="s">
        <v>55</v>
      </c>
      <c r="W698" t="s">
        <v>1194</v>
      </c>
      <c r="AA698">
        <f t="shared" si="44"/>
        <v>12.29</v>
      </c>
      <c r="AB698">
        <v>38.6</v>
      </c>
      <c r="AC698">
        <f t="shared" si="45"/>
        <v>0.11702118475356622</v>
      </c>
      <c r="AI698" t="e">
        <f>IF(Y698="Yes",NA(),#REF!)</f>
        <v>#REF!</v>
      </c>
      <c r="AJ698" t="e">
        <f>IF(Y698="Yes",NA(),#REF!)</f>
        <v>#REF!</v>
      </c>
      <c r="AK698" t="e">
        <f>IF(Y698="Yes",NA(),#REF!)</f>
        <v>#REF!</v>
      </c>
    </row>
    <row r="699" spans="1:37" x14ac:dyDescent="0.35">
      <c r="A699" s="12">
        <v>699</v>
      </c>
      <c r="C699">
        <v>78</v>
      </c>
      <c r="E699" s="2">
        <v>1</v>
      </c>
      <c r="F699" s="2">
        <v>6</v>
      </c>
      <c r="G699" t="s">
        <v>63</v>
      </c>
      <c r="H699" t="s">
        <v>64</v>
      </c>
      <c r="J699" s="14">
        <f t="shared" si="46"/>
        <v>120.3</v>
      </c>
      <c r="K699">
        <v>1300</v>
      </c>
      <c r="N699" t="s">
        <v>54</v>
      </c>
      <c r="Q699" t="s">
        <v>55</v>
      </c>
      <c r="W699" t="s">
        <v>1195</v>
      </c>
      <c r="AA699">
        <f t="shared" si="44"/>
        <v>12.03</v>
      </c>
      <c r="AB699">
        <v>37.799999999999997</v>
      </c>
      <c r="AC699">
        <f t="shared" si="45"/>
        <v>0.11222083117888099</v>
      </c>
      <c r="AI699" t="e">
        <f>IF(Y699="Yes",NA(),#REF!)</f>
        <v>#REF!</v>
      </c>
      <c r="AJ699" t="e">
        <f>IF(Y699="Yes",NA(),#REF!)</f>
        <v>#REF!</v>
      </c>
      <c r="AK699" t="e">
        <f>IF(Y699="Yes",NA(),#REF!)</f>
        <v>#REF!</v>
      </c>
    </row>
    <row r="700" spans="1:37" x14ac:dyDescent="0.35">
      <c r="A700" s="12">
        <v>700</v>
      </c>
      <c r="C700">
        <v>78</v>
      </c>
      <c r="E700" s="2">
        <v>5</v>
      </c>
      <c r="F700" s="2">
        <v>8.3000000000000007</v>
      </c>
      <c r="G700" t="s">
        <v>114</v>
      </c>
      <c r="H700" t="s">
        <v>35</v>
      </c>
      <c r="J700" s="14">
        <f t="shared" si="46"/>
        <v>102.8</v>
      </c>
      <c r="K700">
        <v>1300</v>
      </c>
      <c r="N700" t="s">
        <v>61</v>
      </c>
      <c r="Q700" t="s">
        <v>55</v>
      </c>
      <c r="W700" t="s">
        <v>1196</v>
      </c>
      <c r="AA700">
        <f t="shared" si="44"/>
        <v>10.28</v>
      </c>
      <c r="AB700">
        <v>32.299999999999997</v>
      </c>
      <c r="AC700">
        <f t="shared" si="45"/>
        <v>8.1939804989092369E-2</v>
      </c>
      <c r="AI700" t="e">
        <f>IF(Y700="Yes",NA(),#REF!)</f>
        <v>#REF!</v>
      </c>
      <c r="AJ700" t="e">
        <f>IF(Y700="Yes",NA(),#REF!)</f>
        <v>#REF!</v>
      </c>
      <c r="AK700" t="e">
        <f>IF(Y700="Yes",NA(),#REF!)</f>
        <v>#REF!</v>
      </c>
    </row>
    <row r="701" spans="1:37" x14ac:dyDescent="0.35">
      <c r="A701" s="12">
        <v>701</v>
      </c>
      <c r="C701">
        <v>78</v>
      </c>
      <c r="E701" s="23">
        <v>0.1</v>
      </c>
      <c r="F701" s="23">
        <v>9.9</v>
      </c>
      <c r="G701" t="s">
        <v>59</v>
      </c>
      <c r="H701" t="s">
        <v>710</v>
      </c>
      <c r="J701" s="14">
        <f t="shared" si="46"/>
        <v>493.40000000000003</v>
      </c>
      <c r="K701">
        <v>1300</v>
      </c>
      <c r="N701" t="s">
        <v>1197</v>
      </c>
      <c r="Q701">
        <v>4</v>
      </c>
      <c r="U701">
        <v>3</v>
      </c>
      <c r="W701" t="s">
        <v>1198</v>
      </c>
      <c r="Y701" t="s">
        <v>426</v>
      </c>
      <c r="AA701">
        <f t="shared" si="44"/>
        <v>49.34</v>
      </c>
      <c r="AB701" s="26">
        <v>155</v>
      </c>
      <c r="AC701">
        <f t="shared" si="45"/>
        <v>1.8869190875623696</v>
      </c>
      <c r="AI701" t="e">
        <f>IF(Y701="Yes",NA(),#REF!)</f>
        <v>#N/A</v>
      </c>
      <c r="AJ701" t="e">
        <f>IF(Y701="Yes",NA(),#REF!)</f>
        <v>#N/A</v>
      </c>
      <c r="AK701" t="e">
        <f>IF(Y701="Yes",NA(),#REF!)</f>
        <v>#N/A</v>
      </c>
    </row>
    <row r="702" spans="1:37" x14ac:dyDescent="0.35">
      <c r="A702" s="12">
        <v>702</v>
      </c>
      <c r="C702">
        <v>78</v>
      </c>
      <c r="E702" s="2">
        <v>1</v>
      </c>
      <c r="F702" s="2">
        <v>7</v>
      </c>
      <c r="G702" t="s">
        <v>63</v>
      </c>
      <c r="H702" t="s">
        <v>64</v>
      </c>
      <c r="J702" s="14">
        <f t="shared" si="46"/>
        <v>108.5</v>
      </c>
      <c r="K702">
        <v>1300</v>
      </c>
      <c r="N702" t="s">
        <v>54</v>
      </c>
      <c r="Q702" t="s">
        <v>38</v>
      </c>
      <c r="W702" t="s">
        <v>1199</v>
      </c>
      <c r="AA702">
        <f t="shared" si="44"/>
        <v>10.85</v>
      </c>
      <c r="AB702">
        <v>34.1</v>
      </c>
      <c r="AC702">
        <f t="shared" si="45"/>
        <v>9.1326883838018694E-2</v>
      </c>
      <c r="AI702" t="e">
        <f>IF(Y702="Yes",NA(),#REF!)</f>
        <v>#REF!</v>
      </c>
      <c r="AJ702" t="e">
        <f>IF(Y702="Yes",NA(),#REF!)</f>
        <v>#REF!</v>
      </c>
      <c r="AK702" t="e">
        <f>IF(Y702="Yes",NA(),#REF!)</f>
        <v>#REF!</v>
      </c>
    </row>
    <row r="703" spans="1:37" x14ac:dyDescent="0.35">
      <c r="A703" s="12">
        <v>703</v>
      </c>
      <c r="C703">
        <v>77</v>
      </c>
      <c r="E703" s="2">
        <v>1</v>
      </c>
      <c r="F703" s="2">
        <v>3.5</v>
      </c>
      <c r="G703" t="s">
        <v>178</v>
      </c>
      <c r="H703" t="s">
        <v>294</v>
      </c>
      <c r="J703" s="14">
        <f t="shared" si="46"/>
        <v>100.60000000000001</v>
      </c>
      <c r="K703">
        <v>1300</v>
      </c>
      <c r="N703" t="s">
        <v>54</v>
      </c>
      <c r="Q703" t="s">
        <v>934</v>
      </c>
      <c r="U703">
        <v>3</v>
      </c>
      <c r="W703" t="s">
        <v>1200</v>
      </c>
      <c r="X703" t="s">
        <v>40</v>
      </c>
      <c r="Y703" t="s">
        <v>40</v>
      </c>
      <c r="AA703">
        <f t="shared" si="44"/>
        <v>10.06</v>
      </c>
      <c r="AB703">
        <v>31.6</v>
      </c>
      <c r="AC703">
        <f t="shared" si="45"/>
        <v>7.8426719004215606E-2</v>
      </c>
      <c r="AI703" t="e">
        <f>IF(Y703="Yes",NA(),#REF!)</f>
        <v>#N/A</v>
      </c>
      <c r="AJ703" t="e">
        <f>IF(Y703="Yes",NA(),#REF!)</f>
        <v>#N/A</v>
      </c>
      <c r="AK703" t="e">
        <f>IF(Y703="Yes",NA(),#REF!)</f>
        <v>#N/A</v>
      </c>
    </row>
    <row r="704" spans="1:37" x14ac:dyDescent="0.35">
      <c r="A704" s="12">
        <v>704</v>
      </c>
      <c r="C704">
        <v>77</v>
      </c>
      <c r="E704" s="2">
        <v>2</v>
      </c>
      <c r="F704" s="2">
        <v>5</v>
      </c>
      <c r="G704" t="s">
        <v>59</v>
      </c>
      <c r="H704" t="s">
        <v>1201</v>
      </c>
      <c r="J704" s="14">
        <f t="shared" si="46"/>
        <v>251.5</v>
      </c>
      <c r="K704">
        <v>1300</v>
      </c>
      <c r="N704" t="s">
        <v>61</v>
      </c>
      <c r="Q704">
        <v>4</v>
      </c>
      <c r="U704">
        <v>3</v>
      </c>
      <c r="W704" t="s">
        <v>1202</v>
      </c>
      <c r="X704" t="s">
        <v>40</v>
      </c>
      <c r="Y704" t="s">
        <v>40</v>
      </c>
      <c r="AA704">
        <f t="shared" si="44"/>
        <v>25.15</v>
      </c>
      <c r="AB704">
        <v>79</v>
      </c>
      <c r="AC704">
        <f t="shared" si="45"/>
        <v>0.49016699377634748</v>
      </c>
      <c r="AI704" t="e">
        <f>IF(Y704="Yes",NA(),#REF!)</f>
        <v>#N/A</v>
      </c>
      <c r="AJ704" t="e">
        <f>IF(Y704="Yes",NA(),#REF!)</f>
        <v>#N/A</v>
      </c>
      <c r="AK704" t="e">
        <f>IF(Y704="Yes",NA(),#REF!)</f>
        <v>#N/A</v>
      </c>
    </row>
    <row r="705" spans="1:37" x14ac:dyDescent="0.35">
      <c r="A705" s="12">
        <v>705</v>
      </c>
      <c r="C705">
        <v>77</v>
      </c>
      <c r="E705" s="2">
        <v>3.5</v>
      </c>
      <c r="F705" s="2">
        <v>1</v>
      </c>
      <c r="G705" t="s">
        <v>89</v>
      </c>
      <c r="H705" t="s">
        <v>90</v>
      </c>
      <c r="J705" s="14">
        <f t="shared" si="46"/>
        <v>601.59999999999991</v>
      </c>
      <c r="K705">
        <v>1300</v>
      </c>
      <c r="N705" t="s">
        <v>54</v>
      </c>
      <c r="Q705">
        <v>5</v>
      </c>
      <c r="W705" t="s">
        <v>1203</v>
      </c>
      <c r="X705" t="s">
        <v>40</v>
      </c>
      <c r="Y705" t="s">
        <v>40</v>
      </c>
      <c r="Z705" t="s">
        <v>1204</v>
      </c>
      <c r="AA705">
        <f t="shared" si="44"/>
        <v>60.16</v>
      </c>
      <c r="AB705">
        <v>189</v>
      </c>
      <c r="AC705">
        <f t="shared" si="45"/>
        <v>2.8055207794720252</v>
      </c>
      <c r="AI705" t="e">
        <f>IF(Y705="Yes",NA(),#REF!)</f>
        <v>#N/A</v>
      </c>
      <c r="AJ705" t="e">
        <f>IF(Y705="Yes",NA(),#REF!)</f>
        <v>#N/A</v>
      </c>
      <c r="AK705" t="e">
        <f>IF(Y705="Yes",NA(),#REF!)</f>
        <v>#N/A</v>
      </c>
    </row>
    <row r="706" spans="1:37" x14ac:dyDescent="0.35">
      <c r="A706" s="12">
        <v>706</v>
      </c>
      <c r="C706">
        <v>77</v>
      </c>
      <c r="E706" s="2">
        <v>8</v>
      </c>
      <c r="F706" s="2">
        <v>1</v>
      </c>
      <c r="G706" t="s">
        <v>495</v>
      </c>
      <c r="H706" t="s">
        <v>1190</v>
      </c>
      <c r="J706" s="14">
        <f t="shared" si="46"/>
        <v>138.1</v>
      </c>
      <c r="K706">
        <v>1300</v>
      </c>
      <c r="N706" t="s">
        <v>297</v>
      </c>
      <c r="Q706" t="s">
        <v>934</v>
      </c>
      <c r="W706" t="s">
        <v>1205</v>
      </c>
      <c r="X706" t="s">
        <v>40</v>
      </c>
      <c r="Y706" t="s">
        <v>40</v>
      </c>
      <c r="AA706">
        <f t="shared" si="44"/>
        <v>13.81</v>
      </c>
      <c r="AB706">
        <v>43.4</v>
      </c>
      <c r="AC706">
        <f t="shared" si="45"/>
        <v>0.14793445646488976</v>
      </c>
      <c r="AI706" t="e">
        <f>IF(Y706="Yes",NA(),#REF!)</f>
        <v>#N/A</v>
      </c>
      <c r="AJ706" t="e">
        <f>IF(Y706="Yes",NA(),#REF!)</f>
        <v>#N/A</v>
      </c>
      <c r="AK706" t="e">
        <f>IF(Y706="Yes",NA(),#REF!)</f>
        <v>#N/A</v>
      </c>
    </row>
    <row r="707" spans="1:37" x14ac:dyDescent="0.35">
      <c r="A707" s="12">
        <v>707</v>
      </c>
      <c r="C707">
        <v>77</v>
      </c>
      <c r="E707" s="2">
        <v>7.5</v>
      </c>
      <c r="F707" s="2">
        <v>4</v>
      </c>
      <c r="G707" t="s">
        <v>404</v>
      </c>
      <c r="H707" t="s">
        <v>409</v>
      </c>
      <c r="J707" s="14">
        <f t="shared" si="46"/>
        <v>138.1</v>
      </c>
      <c r="K707">
        <v>1300</v>
      </c>
      <c r="N707" t="s">
        <v>54</v>
      </c>
      <c r="Q707" t="s">
        <v>152</v>
      </c>
      <c r="W707" t="s">
        <v>1206</v>
      </c>
      <c r="X707" t="s">
        <v>40</v>
      </c>
      <c r="Y707" t="s">
        <v>40</v>
      </c>
      <c r="AA707">
        <f t="shared" ref="AA707:AA770" si="47">ROUND(AB707/PI(), 2)</f>
        <v>13.81</v>
      </c>
      <c r="AB707">
        <v>43.4</v>
      </c>
      <c r="AC707">
        <f t="shared" si="45"/>
        <v>0.14793445646488976</v>
      </c>
      <c r="AI707" t="e">
        <f>IF(Y707="Yes",NA(),#REF!)</f>
        <v>#N/A</v>
      </c>
      <c r="AJ707" t="e">
        <f>IF(Y707="Yes",NA(),#REF!)</f>
        <v>#N/A</v>
      </c>
      <c r="AK707" t="e">
        <f>IF(Y707="Yes",NA(),#REF!)</f>
        <v>#N/A</v>
      </c>
    </row>
    <row r="708" spans="1:37" x14ac:dyDescent="0.35">
      <c r="A708" s="12">
        <v>708</v>
      </c>
      <c r="C708">
        <v>77</v>
      </c>
      <c r="E708" s="2">
        <v>9.1</v>
      </c>
      <c r="F708" s="2">
        <v>9.9</v>
      </c>
      <c r="G708" t="s">
        <v>34</v>
      </c>
      <c r="H708" t="s">
        <v>35</v>
      </c>
      <c r="J708" s="14">
        <f t="shared" si="46"/>
        <v>188.79999999999998</v>
      </c>
      <c r="K708">
        <v>1300</v>
      </c>
      <c r="N708" t="s">
        <v>1207</v>
      </c>
      <c r="Q708" t="s">
        <v>38</v>
      </c>
      <c r="U708">
        <v>3</v>
      </c>
      <c r="W708" t="s">
        <v>1208</v>
      </c>
      <c r="X708" t="s">
        <v>40</v>
      </c>
      <c r="Y708" t="s">
        <v>40</v>
      </c>
      <c r="AA708">
        <f t="shared" si="47"/>
        <v>18.88</v>
      </c>
      <c r="AB708">
        <v>59.3</v>
      </c>
      <c r="AC708">
        <f t="shared" si="45"/>
        <v>0.27618447876054925</v>
      </c>
      <c r="AI708" t="e">
        <f>IF(Y708="Yes",NA(),#REF!)</f>
        <v>#N/A</v>
      </c>
      <c r="AJ708" t="e">
        <f>IF(Y708="Yes",NA(),#REF!)</f>
        <v>#N/A</v>
      </c>
      <c r="AK708" t="e">
        <f>IF(Y708="Yes",NA(),#REF!)</f>
        <v>#N/A</v>
      </c>
    </row>
    <row r="709" spans="1:37" x14ac:dyDescent="0.35">
      <c r="A709" s="12">
        <v>709</v>
      </c>
      <c r="C709">
        <v>77</v>
      </c>
      <c r="E709" s="2">
        <v>8</v>
      </c>
      <c r="F709" s="2">
        <v>9.9</v>
      </c>
      <c r="G709" t="s">
        <v>63</v>
      </c>
      <c r="H709" t="s">
        <v>64</v>
      </c>
      <c r="J709" s="14">
        <f t="shared" si="46"/>
        <v>132.4</v>
      </c>
      <c r="K709">
        <v>1300</v>
      </c>
      <c r="N709" t="s">
        <v>54</v>
      </c>
      <c r="Q709" t="s">
        <v>152</v>
      </c>
      <c r="W709" t="s">
        <v>1209</v>
      </c>
      <c r="AA709">
        <f t="shared" si="47"/>
        <v>13.24</v>
      </c>
      <c r="AB709">
        <v>41.6</v>
      </c>
      <c r="AC709">
        <f t="shared" si="45"/>
        <v>0.13591786456490881</v>
      </c>
      <c r="AI709" t="e">
        <f>IF(Y709="Yes",NA(),#REF!)</f>
        <v>#REF!</v>
      </c>
      <c r="AJ709" t="e">
        <f>IF(Y709="Yes",NA(),#REF!)</f>
        <v>#REF!</v>
      </c>
      <c r="AK709" t="e">
        <f>IF(Y709="Yes",NA(),#REF!)</f>
        <v>#REF!</v>
      </c>
    </row>
    <row r="710" spans="1:37" x14ac:dyDescent="0.35">
      <c r="A710" s="12">
        <v>710</v>
      </c>
      <c r="C710">
        <v>77</v>
      </c>
      <c r="E710" s="2">
        <v>6.5</v>
      </c>
      <c r="F710" s="2">
        <v>9</v>
      </c>
      <c r="G710" t="s">
        <v>63</v>
      </c>
      <c r="H710" t="s">
        <v>64</v>
      </c>
      <c r="J710" s="14">
        <f t="shared" si="46"/>
        <v>143.6</v>
      </c>
      <c r="K710">
        <v>1300</v>
      </c>
      <c r="N710" t="s">
        <v>54</v>
      </c>
      <c r="Q710" t="s">
        <v>152</v>
      </c>
      <c r="W710" t="s">
        <v>1210</v>
      </c>
      <c r="AA710">
        <f t="shared" si="47"/>
        <v>14.36</v>
      </c>
      <c r="AB710">
        <v>45.1</v>
      </c>
      <c r="AC710">
        <f t="shared" si="45"/>
        <v>0.15975077183320435</v>
      </c>
      <c r="AI710" t="e">
        <f>IF(Y710="Yes",NA(),#REF!)</f>
        <v>#REF!</v>
      </c>
      <c r="AJ710" t="e">
        <f>IF(Y710="Yes",NA(),#REF!)</f>
        <v>#REF!</v>
      </c>
      <c r="AK710" t="e">
        <f>IF(Y710="Yes",NA(),#REF!)</f>
        <v>#REF!</v>
      </c>
    </row>
    <row r="711" spans="1:37" x14ac:dyDescent="0.35">
      <c r="A711" s="12">
        <v>711</v>
      </c>
      <c r="C711">
        <v>77</v>
      </c>
      <c r="E711" s="2">
        <v>3</v>
      </c>
      <c r="F711" s="2">
        <v>9.6999999999999993</v>
      </c>
      <c r="G711" t="s">
        <v>63</v>
      </c>
      <c r="H711" t="s">
        <v>64</v>
      </c>
      <c r="J711" s="14">
        <f t="shared" si="46"/>
        <v>127</v>
      </c>
      <c r="K711">
        <v>1300</v>
      </c>
      <c r="N711" t="s">
        <v>54</v>
      </c>
      <c r="Q711">
        <v>1</v>
      </c>
      <c r="W711" t="s">
        <v>1211</v>
      </c>
      <c r="AA711">
        <f t="shared" si="47"/>
        <v>12.7</v>
      </c>
      <c r="AB711">
        <v>39.9</v>
      </c>
      <c r="AC711">
        <f t="shared" si="45"/>
        <v>0.12503617301103717</v>
      </c>
      <c r="AI711" t="e">
        <f>IF(Y711="Yes",NA(),#REF!)</f>
        <v>#REF!</v>
      </c>
      <c r="AJ711" t="e">
        <f>IF(Y711="Yes",NA(),#REF!)</f>
        <v>#REF!</v>
      </c>
      <c r="AK711" t="e">
        <f>IF(Y711="Yes",NA(),#REF!)</f>
        <v>#REF!</v>
      </c>
    </row>
    <row r="712" spans="1:37" x14ac:dyDescent="0.35">
      <c r="A712" s="12">
        <v>712</v>
      </c>
      <c r="C712">
        <v>77</v>
      </c>
      <c r="E712" s="2">
        <v>2.9</v>
      </c>
      <c r="F712" s="2">
        <v>9.5</v>
      </c>
      <c r="G712" t="s">
        <v>63</v>
      </c>
      <c r="H712" t="s">
        <v>64</v>
      </c>
      <c r="J712" s="14">
        <f t="shared" si="46"/>
        <v>109.5</v>
      </c>
      <c r="K712">
        <v>1300</v>
      </c>
      <c r="N712" t="s">
        <v>54</v>
      </c>
      <c r="Q712">
        <v>1</v>
      </c>
      <c r="W712" t="s">
        <v>1212</v>
      </c>
      <c r="AA712">
        <f t="shared" si="47"/>
        <v>10.95</v>
      </c>
      <c r="AB712">
        <v>34.4</v>
      </c>
      <c r="AC712">
        <f t="shared" si="45"/>
        <v>9.2940877063800442E-2</v>
      </c>
      <c r="AI712" t="e">
        <f>IF(Y712="Yes",NA(),#REF!)</f>
        <v>#REF!</v>
      </c>
      <c r="AJ712" t="e">
        <f>IF(Y712="Yes",NA(),#REF!)</f>
        <v>#REF!</v>
      </c>
      <c r="AK712" t="e">
        <f>IF(Y712="Yes",NA(),#REF!)</f>
        <v>#REF!</v>
      </c>
    </row>
    <row r="713" spans="1:37" x14ac:dyDescent="0.35">
      <c r="A713" s="12">
        <v>713</v>
      </c>
      <c r="C713">
        <v>77</v>
      </c>
      <c r="E713" s="2">
        <v>1.7</v>
      </c>
      <c r="F713" s="2">
        <v>9.3000000000000007</v>
      </c>
      <c r="G713" t="s">
        <v>63</v>
      </c>
      <c r="H713" t="s">
        <v>64</v>
      </c>
      <c r="J713" s="14">
        <f t="shared" si="46"/>
        <v>110.8</v>
      </c>
      <c r="K713">
        <v>1300</v>
      </c>
      <c r="N713" t="s">
        <v>54</v>
      </c>
      <c r="Q713" t="s">
        <v>934</v>
      </c>
      <c r="W713" t="s">
        <v>1213</v>
      </c>
      <c r="AA713">
        <f t="shared" si="47"/>
        <v>11.08</v>
      </c>
      <c r="AB713">
        <v>34.799999999999997</v>
      </c>
      <c r="AC713">
        <f t="shared" si="45"/>
        <v>9.5114859180084568E-2</v>
      </c>
      <c r="AI713" t="e">
        <f>IF(Y713="Yes",NA(),#REF!)</f>
        <v>#REF!</v>
      </c>
      <c r="AJ713" t="e">
        <f>IF(Y713="Yes",NA(),#REF!)</f>
        <v>#REF!</v>
      </c>
      <c r="AK713" t="e">
        <f>IF(Y713="Yes",NA(),#REF!)</f>
        <v>#REF!</v>
      </c>
    </row>
    <row r="714" spans="1:37" x14ac:dyDescent="0.35">
      <c r="A714" s="12">
        <v>714</v>
      </c>
      <c r="C714">
        <v>77</v>
      </c>
      <c r="E714" s="2">
        <v>1.5</v>
      </c>
      <c r="F714" s="2">
        <v>9</v>
      </c>
      <c r="G714" t="s">
        <v>63</v>
      </c>
      <c r="H714" t="s">
        <v>64</v>
      </c>
      <c r="J714" s="14">
        <f t="shared" si="46"/>
        <v>121.30000000000001</v>
      </c>
      <c r="K714">
        <v>1300</v>
      </c>
      <c r="N714" t="s">
        <v>54</v>
      </c>
      <c r="Q714" t="s">
        <v>934</v>
      </c>
      <c r="W714" t="s">
        <v>1214</v>
      </c>
      <c r="AA714">
        <f t="shared" si="47"/>
        <v>12.13</v>
      </c>
      <c r="AB714">
        <v>38.1</v>
      </c>
      <c r="AC714">
        <f t="shared" si="45"/>
        <v>0.11400918279693702</v>
      </c>
      <c r="AI714" t="e">
        <f>IF(Y714="Yes",NA(),#REF!)</f>
        <v>#REF!</v>
      </c>
      <c r="AJ714" t="e">
        <f>IF(Y714="Yes",NA(),#REF!)</f>
        <v>#REF!</v>
      </c>
      <c r="AK714" t="e">
        <f>IF(Y714="Yes",NA(),#REF!)</f>
        <v>#REF!</v>
      </c>
    </row>
    <row r="715" spans="1:37" x14ac:dyDescent="0.35">
      <c r="A715" s="12">
        <v>715</v>
      </c>
      <c r="C715">
        <v>77</v>
      </c>
      <c r="E715" s="2">
        <v>1</v>
      </c>
      <c r="F715" s="2">
        <v>8.3000000000000007</v>
      </c>
      <c r="G715" t="s">
        <v>59</v>
      </c>
      <c r="H715" t="s">
        <v>461</v>
      </c>
      <c r="J715" s="14">
        <f t="shared" si="46"/>
        <v>113.3</v>
      </c>
      <c r="K715">
        <v>1300</v>
      </c>
      <c r="N715" t="s">
        <v>61</v>
      </c>
      <c r="Q715">
        <v>1</v>
      </c>
      <c r="U715">
        <v>3</v>
      </c>
      <c r="W715" t="s">
        <v>1215</v>
      </c>
      <c r="X715" t="s">
        <v>40</v>
      </c>
      <c r="Y715" t="s">
        <v>40</v>
      </c>
      <c r="AA715">
        <f t="shared" si="47"/>
        <v>11.33</v>
      </c>
      <c r="AB715">
        <v>35.6</v>
      </c>
      <c r="AC715">
        <f t="shared" si="45"/>
        <v>9.9538221636339019E-2</v>
      </c>
      <c r="AI715" t="e">
        <f>IF(Y715="Yes",NA(),#REF!)</f>
        <v>#N/A</v>
      </c>
      <c r="AJ715" t="e">
        <f>IF(Y715="Yes",NA(),#REF!)</f>
        <v>#N/A</v>
      </c>
      <c r="AK715" t="e">
        <f>IF(Y715="Yes",NA(),#REF!)</f>
        <v>#N/A</v>
      </c>
    </row>
    <row r="716" spans="1:37" x14ac:dyDescent="0.35">
      <c r="A716" s="12">
        <v>716</v>
      </c>
      <c r="C716">
        <v>76</v>
      </c>
      <c r="E716" s="2">
        <v>1.3</v>
      </c>
      <c r="F716" s="2">
        <v>4</v>
      </c>
      <c r="G716" t="s">
        <v>63</v>
      </c>
      <c r="H716" t="s">
        <v>64</v>
      </c>
      <c r="J716" s="14">
        <f t="shared" si="46"/>
        <v>114.3</v>
      </c>
      <c r="K716">
        <v>1300</v>
      </c>
      <c r="N716" t="s">
        <v>307</v>
      </c>
      <c r="Q716" t="s">
        <v>152</v>
      </c>
      <c r="W716" t="s">
        <v>1216</v>
      </c>
      <c r="Z716" t="s">
        <v>1217</v>
      </c>
      <c r="AA716">
        <f t="shared" si="47"/>
        <v>11.43</v>
      </c>
      <c r="AB716">
        <v>35.9</v>
      </c>
      <c r="AC716">
        <f t="shared" si="45"/>
        <v>0.10122290069682653</v>
      </c>
      <c r="AI716" t="e">
        <f>IF(Y716="Yes",NA(),#REF!)</f>
        <v>#REF!</v>
      </c>
      <c r="AJ716" t="e">
        <f>IF(Y716="Yes",NA(),#REF!)</f>
        <v>#REF!</v>
      </c>
      <c r="AK716" t="e">
        <f>IF(Y716="Yes",NA(),#REF!)</f>
        <v>#REF!</v>
      </c>
    </row>
    <row r="717" spans="1:37" x14ac:dyDescent="0.35">
      <c r="A717" s="12">
        <v>717</v>
      </c>
      <c r="C717">
        <v>76</v>
      </c>
      <c r="E717" s="2">
        <v>4</v>
      </c>
      <c r="F717" s="2">
        <v>2</v>
      </c>
      <c r="G717" t="s">
        <v>63</v>
      </c>
      <c r="H717" t="s">
        <v>64</v>
      </c>
      <c r="J717" s="14">
        <f t="shared" si="46"/>
        <v>103.10000000000001</v>
      </c>
      <c r="K717">
        <v>1300</v>
      </c>
      <c r="N717" t="s">
        <v>54</v>
      </c>
      <c r="Q717" t="s">
        <v>152</v>
      </c>
      <c r="W717" t="s">
        <v>1218</v>
      </c>
      <c r="AA717">
        <f t="shared" si="47"/>
        <v>10.31</v>
      </c>
      <c r="AB717">
        <v>32.4</v>
      </c>
      <c r="AC717">
        <f t="shared" si="45"/>
        <v>8.2447957600810529E-2</v>
      </c>
      <c r="AI717" t="e">
        <f>IF(Y717="Yes",NA(),#REF!)</f>
        <v>#REF!</v>
      </c>
      <c r="AJ717" t="e">
        <f>IF(Y717="Yes",NA(),#REF!)</f>
        <v>#REF!</v>
      </c>
      <c r="AK717" t="e">
        <f>IF(Y717="Yes",NA(),#REF!)</f>
        <v>#REF!</v>
      </c>
    </row>
    <row r="718" spans="1:37" x14ac:dyDescent="0.35">
      <c r="A718" s="12">
        <v>718</v>
      </c>
      <c r="C718">
        <v>76</v>
      </c>
      <c r="E718" s="2">
        <v>4</v>
      </c>
      <c r="F718" s="2">
        <v>3</v>
      </c>
      <c r="G718" t="s">
        <v>1126</v>
      </c>
      <c r="H718" t="s">
        <v>1127</v>
      </c>
      <c r="J718" s="14">
        <f t="shared" si="46"/>
        <v>133.1</v>
      </c>
      <c r="K718">
        <v>1300</v>
      </c>
      <c r="N718" t="s">
        <v>54</v>
      </c>
      <c r="Q718">
        <v>1</v>
      </c>
      <c r="U718">
        <v>3</v>
      </c>
      <c r="W718" t="s">
        <v>1219</v>
      </c>
      <c r="X718" t="s">
        <v>40</v>
      </c>
      <c r="Y718" t="s">
        <v>40</v>
      </c>
      <c r="AA718">
        <f t="shared" si="47"/>
        <v>13.31</v>
      </c>
      <c r="AB718">
        <v>41.8</v>
      </c>
      <c r="AC718">
        <f t="shared" si="45"/>
        <v>0.13722790870145574</v>
      </c>
      <c r="AI718" t="e">
        <f>IF(Y718="Yes",NA(),#REF!)</f>
        <v>#N/A</v>
      </c>
      <c r="AJ718" t="e">
        <f>IF(Y718="Yes",NA(),#REF!)</f>
        <v>#N/A</v>
      </c>
      <c r="AK718" t="e">
        <f>IF(Y718="Yes",NA(),#REF!)</f>
        <v>#N/A</v>
      </c>
    </row>
    <row r="719" spans="1:37" x14ac:dyDescent="0.35">
      <c r="A719" s="12">
        <v>719</v>
      </c>
      <c r="C719">
        <v>76</v>
      </c>
      <c r="E719" s="2">
        <v>9.5</v>
      </c>
      <c r="F719" s="2">
        <v>6</v>
      </c>
      <c r="G719" t="s">
        <v>47</v>
      </c>
      <c r="H719" t="s">
        <v>35</v>
      </c>
      <c r="J719" s="14">
        <f t="shared" si="46"/>
        <v>302.10000000000002</v>
      </c>
      <c r="K719">
        <v>1300</v>
      </c>
      <c r="N719" t="s">
        <v>54</v>
      </c>
      <c r="Q719" t="s">
        <v>38</v>
      </c>
      <c r="U719">
        <v>3</v>
      </c>
      <c r="W719" t="s">
        <v>1220</v>
      </c>
      <c r="X719" t="s">
        <v>40</v>
      </c>
      <c r="Y719" t="s">
        <v>40</v>
      </c>
      <c r="AA719">
        <f t="shared" si="47"/>
        <v>30.21</v>
      </c>
      <c r="AB719">
        <v>94.9</v>
      </c>
      <c r="AC719">
        <f t="shared" si="45"/>
        <v>0.70733037135390542</v>
      </c>
      <c r="AI719" t="e">
        <f>IF(Y719="Yes",NA(),#REF!)</f>
        <v>#N/A</v>
      </c>
      <c r="AJ719" t="e">
        <f>IF(Y719="Yes",NA(),#REF!)</f>
        <v>#N/A</v>
      </c>
      <c r="AK719" t="e">
        <f>IF(Y719="Yes",NA(),#REF!)</f>
        <v>#N/A</v>
      </c>
    </row>
    <row r="720" spans="1:37" x14ac:dyDescent="0.35">
      <c r="A720" s="12">
        <v>720</v>
      </c>
      <c r="C720">
        <v>76</v>
      </c>
      <c r="E720" s="2">
        <v>4</v>
      </c>
      <c r="F720" s="2">
        <v>6</v>
      </c>
      <c r="G720" t="s">
        <v>63</v>
      </c>
      <c r="H720" t="s">
        <v>64</v>
      </c>
      <c r="J720" s="14">
        <f t="shared" si="46"/>
        <v>115.19999999999999</v>
      </c>
      <c r="K720">
        <v>1300</v>
      </c>
      <c r="N720" t="s">
        <v>54</v>
      </c>
      <c r="Q720">
        <v>1</v>
      </c>
      <c r="W720" t="s">
        <v>1221</v>
      </c>
      <c r="AA720">
        <f t="shared" si="47"/>
        <v>11.52</v>
      </c>
      <c r="AB720">
        <v>36.200000000000003</v>
      </c>
      <c r="AC720">
        <f t="shared" si="45"/>
        <v>0.10292171692425522</v>
      </c>
      <c r="AI720" t="e">
        <f>IF(Y720="Yes",NA(),#REF!)</f>
        <v>#REF!</v>
      </c>
      <c r="AJ720" t="e">
        <f>IF(Y720="Yes",NA(),#REF!)</f>
        <v>#REF!</v>
      </c>
      <c r="AK720" t="e">
        <f>IF(Y720="Yes",NA(),#REF!)</f>
        <v>#REF!</v>
      </c>
    </row>
    <row r="721" spans="1:37" x14ac:dyDescent="0.35">
      <c r="A721" s="12">
        <v>721</v>
      </c>
      <c r="C721">
        <v>76</v>
      </c>
      <c r="E721" s="2">
        <v>4</v>
      </c>
      <c r="F721" s="2">
        <v>7.5</v>
      </c>
      <c r="G721" t="s">
        <v>213</v>
      </c>
      <c r="H721" t="s">
        <v>214</v>
      </c>
      <c r="J721" s="14">
        <f t="shared" si="46"/>
        <v>131.80000000000001</v>
      </c>
      <c r="K721">
        <v>1300</v>
      </c>
      <c r="N721" t="s">
        <v>54</v>
      </c>
      <c r="Q721" t="s">
        <v>38</v>
      </c>
      <c r="U721">
        <v>3</v>
      </c>
      <c r="W721" t="s">
        <v>1222</v>
      </c>
      <c r="X721" t="s">
        <v>40</v>
      </c>
      <c r="Y721" t="s">
        <v>40</v>
      </c>
      <c r="AA721">
        <f t="shared" si="47"/>
        <v>13.18</v>
      </c>
      <c r="AB721">
        <v>41.4</v>
      </c>
      <c r="AC721">
        <f t="shared" si="45"/>
        <v>0.13461410361366904</v>
      </c>
      <c r="AI721" t="e">
        <f>IF(Y721="Yes",NA(),#REF!)</f>
        <v>#N/A</v>
      </c>
      <c r="AJ721" t="e">
        <f>IF(Y721="Yes",NA(),#REF!)</f>
        <v>#N/A</v>
      </c>
      <c r="AK721" t="e">
        <f>IF(Y721="Yes",NA(),#REF!)</f>
        <v>#N/A</v>
      </c>
    </row>
    <row r="722" spans="1:37" x14ac:dyDescent="0.35">
      <c r="A722" s="12">
        <v>722</v>
      </c>
      <c r="C722">
        <v>76</v>
      </c>
      <c r="E722" s="2">
        <v>8.3000000000000007</v>
      </c>
      <c r="F722" s="2">
        <v>7</v>
      </c>
      <c r="G722" t="s">
        <v>63</v>
      </c>
      <c r="H722" t="s">
        <v>64</v>
      </c>
      <c r="J722" s="14">
        <f t="shared" si="46"/>
        <v>105.7</v>
      </c>
      <c r="K722">
        <v>1300</v>
      </c>
      <c r="N722" t="s">
        <v>61</v>
      </c>
      <c r="Q722">
        <v>1</v>
      </c>
      <c r="W722" t="s">
        <v>1223</v>
      </c>
      <c r="AA722">
        <f t="shared" si="47"/>
        <v>10.57</v>
      </c>
      <c r="AB722">
        <v>33.200000000000003</v>
      </c>
      <c r="AC722">
        <f t="shared" si="45"/>
        <v>8.6569727162320351E-2</v>
      </c>
      <c r="AI722" t="e">
        <f>IF(Y722="Yes",NA(),#REF!)</f>
        <v>#REF!</v>
      </c>
      <c r="AJ722" t="e">
        <f>IF(Y722="Yes",NA(),#REF!)</f>
        <v>#REF!</v>
      </c>
      <c r="AK722" t="e">
        <f>IF(Y722="Yes",NA(),#REF!)</f>
        <v>#REF!</v>
      </c>
    </row>
    <row r="723" spans="1:37" x14ac:dyDescent="0.35">
      <c r="A723" s="12">
        <v>723</v>
      </c>
      <c r="C723">
        <v>76</v>
      </c>
      <c r="E723" s="2">
        <v>3.5</v>
      </c>
      <c r="F723" s="2">
        <v>8.5</v>
      </c>
      <c r="G723" t="s">
        <v>63</v>
      </c>
      <c r="H723" t="s">
        <v>64</v>
      </c>
      <c r="J723" s="14">
        <f t="shared" si="46"/>
        <v>138.80000000000001</v>
      </c>
      <c r="K723">
        <v>1300</v>
      </c>
      <c r="N723" t="s">
        <v>54</v>
      </c>
      <c r="Q723" t="s">
        <v>152</v>
      </c>
      <c r="W723" t="s">
        <v>1224</v>
      </c>
      <c r="AA723">
        <f t="shared" si="47"/>
        <v>13.88</v>
      </c>
      <c r="AB723">
        <v>43.6</v>
      </c>
      <c r="AC723">
        <f t="shared" si="45"/>
        <v>0.14930104926920135</v>
      </c>
      <c r="AI723" t="e">
        <f>IF(Y723="Yes",NA(),#REF!)</f>
        <v>#REF!</v>
      </c>
      <c r="AJ723" t="e">
        <f>IF(Y723="Yes",NA(),#REF!)</f>
        <v>#REF!</v>
      </c>
      <c r="AK723" t="e">
        <f>IF(Y723="Yes",NA(),#REF!)</f>
        <v>#REF!</v>
      </c>
    </row>
    <row r="724" spans="1:37" x14ac:dyDescent="0.35">
      <c r="A724" s="12">
        <v>724</v>
      </c>
      <c r="C724">
        <v>76</v>
      </c>
      <c r="E724" s="2">
        <v>3</v>
      </c>
      <c r="F724" s="2">
        <v>6</v>
      </c>
      <c r="G724" t="s">
        <v>63</v>
      </c>
      <c r="H724" t="s">
        <v>64</v>
      </c>
      <c r="J724" s="14">
        <f t="shared" si="46"/>
        <v>144.5</v>
      </c>
      <c r="K724">
        <v>1300</v>
      </c>
      <c r="N724" t="s">
        <v>54</v>
      </c>
      <c r="Q724" t="s">
        <v>152</v>
      </c>
      <c r="W724" t="s">
        <v>1225</v>
      </c>
      <c r="AA724">
        <f t="shared" si="47"/>
        <v>14.45</v>
      </c>
      <c r="AB724">
        <v>45.4</v>
      </c>
      <c r="AC724">
        <f t="shared" si="45"/>
        <v>0.16188312784682843</v>
      </c>
      <c r="AI724" t="e">
        <f>IF(Y724="Yes",NA(),#REF!)</f>
        <v>#REF!</v>
      </c>
      <c r="AJ724" t="e">
        <f>IF(Y724="Yes",NA(),#REF!)</f>
        <v>#REF!</v>
      </c>
      <c r="AK724" t="e">
        <f>IF(Y724="Yes",NA(),#REF!)</f>
        <v>#REF!</v>
      </c>
    </row>
    <row r="725" spans="1:37" x14ac:dyDescent="0.35">
      <c r="A725" s="12">
        <v>725</v>
      </c>
      <c r="C725">
        <v>75</v>
      </c>
      <c r="E725" s="2">
        <v>0.2</v>
      </c>
      <c r="F725" s="2">
        <v>3.5</v>
      </c>
      <c r="G725" t="s">
        <v>63</v>
      </c>
      <c r="H725" t="s">
        <v>64</v>
      </c>
      <c r="J725" s="14">
        <f t="shared" si="46"/>
        <v>140.1</v>
      </c>
      <c r="K725">
        <v>1300</v>
      </c>
      <c r="N725" t="s">
        <v>61</v>
      </c>
      <c r="Q725" t="s">
        <v>934</v>
      </c>
      <c r="W725" t="s">
        <v>1226</v>
      </c>
      <c r="AA725">
        <f t="shared" si="47"/>
        <v>14.01</v>
      </c>
      <c r="AB725">
        <v>44</v>
      </c>
      <c r="AC725">
        <f t="shared" si="45"/>
        <v>0.15205308443374596</v>
      </c>
      <c r="AI725" t="e">
        <f>IF(Y725="Yes",NA(),#REF!)</f>
        <v>#REF!</v>
      </c>
      <c r="AJ725" t="e">
        <f>IF(Y725="Yes",NA(),#REF!)</f>
        <v>#REF!</v>
      </c>
      <c r="AK725" t="e">
        <f>IF(Y725="Yes",NA(),#REF!)</f>
        <v>#REF!</v>
      </c>
    </row>
    <row r="726" spans="1:37" x14ac:dyDescent="0.35">
      <c r="A726" s="12">
        <v>726</v>
      </c>
      <c r="C726">
        <v>75</v>
      </c>
      <c r="E726" s="2">
        <v>2</v>
      </c>
      <c r="F726" s="2">
        <v>1.2</v>
      </c>
      <c r="G726" t="s">
        <v>63</v>
      </c>
      <c r="H726" t="s">
        <v>64</v>
      </c>
      <c r="J726" s="14">
        <f t="shared" si="46"/>
        <v>113.6</v>
      </c>
      <c r="K726">
        <v>1300</v>
      </c>
      <c r="N726" t="s">
        <v>61</v>
      </c>
      <c r="Q726" t="s">
        <v>152</v>
      </c>
      <c r="W726" t="s">
        <v>1227</v>
      </c>
      <c r="AA726">
        <f t="shared" si="47"/>
        <v>11.36</v>
      </c>
      <c r="AB726">
        <v>35.700000000000003</v>
      </c>
      <c r="AC726">
        <f t="shared" si="45"/>
        <v>0.1000982105268414</v>
      </c>
      <c r="AI726" t="e">
        <f>IF(Y726="Yes",NA(),#REF!)</f>
        <v>#REF!</v>
      </c>
      <c r="AJ726" t="e">
        <f>IF(Y726="Yes",NA(),#REF!)</f>
        <v>#REF!</v>
      </c>
      <c r="AK726" t="e">
        <f>IF(Y726="Yes",NA(),#REF!)</f>
        <v>#REF!</v>
      </c>
    </row>
    <row r="727" spans="1:37" x14ac:dyDescent="0.35">
      <c r="A727" s="12">
        <v>727</v>
      </c>
      <c r="C727">
        <v>75</v>
      </c>
      <c r="E727" s="2">
        <v>4.5</v>
      </c>
      <c r="F727" s="2">
        <v>0.1</v>
      </c>
      <c r="G727" t="s">
        <v>213</v>
      </c>
      <c r="H727" t="s">
        <v>477</v>
      </c>
      <c r="J727" s="14">
        <f t="shared" si="46"/>
        <v>141</v>
      </c>
      <c r="K727">
        <v>1300</v>
      </c>
      <c r="N727" t="s">
        <v>1228</v>
      </c>
      <c r="Q727" t="s">
        <v>934</v>
      </c>
      <c r="W727" t="s">
        <v>1229</v>
      </c>
      <c r="X727" t="s">
        <v>40</v>
      </c>
      <c r="Y727" t="s">
        <v>40</v>
      </c>
      <c r="Z727" t="s">
        <v>1230</v>
      </c>
      <c r="AA727">
        <f t="shared" si="47"/>
        <v>14.1</v>
      </c>
      <c r="AB727">
        <v>44.3</v>
      </c>
      <c r="AC727">
        <f t="shared" si="45"/>
        <v>0.15413360416858579</v>
      </c>
      <c r="AI727" t="e">
        <f>IF(Y727="Yes",NA(),#REF!)</f>
        <v>#N/A</v>
      </c>
      <c r="AJ727" t="e">
        <f>IF(Y727="Yes",NA(),#REF!)</f>
        <v>#N/A</v>
      </c>
      <c r="AK727" t="e">
        <f>IF(Y727="Yes",NA(),#REF!)</f>
        <v>#N/A</v>
      </c>
    </row>
    <row r="728" spans="1:37" x14ac:dyDescent="0.35">
      <c r="A728" s="12">
        <v>728</v>
      </c>
      <c r="C728">
        <v>75</v>
      </c>
      <c r="E728" s="23">
        <v>7.5</v>
      </c>
      <c r="F728" s="23">
        <v>1.8</v>
      </c>
      <c r="G728" t="s">
        <v>886</v>
      </c>
      <c r="H728" t="s">
        <v>887</v>
      </c>
      <c r="J728" s="14">
        <f t="shared" si="46"/>
        <v>120</v>
      </c>
      <c r="K728">
        <v>1300</v>
      </c>
      <c r="N728" t="s">
        <v>54</v>
      </c>
      <c r="Q728" t="s">
        <v>55</v>
      </c>
      <c r="U728">
        <v>1</v>
      </c>
      <c r="W728" t="s">
        <v>1231</v>
      </c>
      <c r="X728" t="s">
        <v>1232</v>
      </c>
      <c r="Y728" t="s">
        <v>40</v>
      </c>
      <c r="AA728">
        <f t="shared" si="47"/>
        <v>12</v>
      </c>
      <c r="AB728" s="26">
        <v>37.700000000000003</v>
      </c>
      <c r="AC728">
        <f t="shared" si="45"/>
        <v>0.11162785556551597</v>
      </c>
      <c r="AI728" t="e">
        <f>IF(Y728="Yes",NA(),#REF!)</f>
        <v>#N/A</v>
      </c>
      <c r="AJ728" t="e">
        <f>IF(Y728="Yes",NA(),#REF!)</f>
        <v>#N/A</v>
      </c>
      <c r="AK728" t="e">
        <f>IF(Y728="Yes",NA(),#REF!)</f>
        <v>#N/A</v>
      </c>
    </row>
    <row r="729" spans="1:37" x14ac:dyDescent="0.35">
      <c r="A729" s="12">
        <v>729</v>
      </c>
      <c r="C729">
        <v>75</v>
      </c>
      <c r="E729" s="2">
        <v>5</v>
      </c>
      <c r="F729" s="2">
        <v>3.4</v>
      </c>
      <c r="G729" t="s">
        <v>34</v>
      </c>
      <c r="H729" t="s">
        <v>35</v>
      </c>
      <c r="J729" s="14">
        <f t="shared" si="46"/>
        <v>176.29999999999998</v>
      </c>
      <c r="K729">
        <v>1300</v>
      </c>
      <c r="N729" t="s">
        <v>435</v>
      </c>
      <c r="Q729" t="s">
        <v>38</v>
      </c>
      <c r="U729">
        <v>3</v>
      </c>
      <c r="W729" t="s">
        <v>1233</v>
      </c>
      <c r="X729" t="s">
        <v>40</v>
      </c>
      <c r="Y729" t="s">
        <v>40</v>
      </c>
      <c r="AA729">
        <f t="shared" si="47"/>
        <v>17.63</v>
      </c>
      <c r="AB729">
        <v>55.4</v>
      </c>
      <c r="AC729">
        <f t="shared" si="45"/>
        <v>0.24105126271729124</v>
      </c>
      <c r="AI729" t="e">
        <f>IF(Y729="Yes",NA(),#REF!)</f>
        <v>#N/A</v>
      </c>
      <c r="AJ729" t="e">
        <f>IF(Y729="Yes",NA(),#REF!)</f>
        <v>#N/A</v>
      </c>
      <c r="AK729" t="e">
        <f>IF(Y729="Yes",NA(),#REF!)</f>
        <v>#N/A</v>
      </c>
    </row>
    <row r="730" spans="1:37" x14ac:dyDescent="0.35">
      <c r="A730" s="12">
        <v>730</v>
      </c>
      <c r="C730">
        <v>75</v>
      </c>
      <c r="E730" s="2">
        <v>8.3000000000000007</v>
      </c>
      <c r="F730" s="2">
        <v>6</v>
      </c>
      <c r="G730" t="s">
        <v>145</v>
      </c>
      <c r="H730" t="s">
        <v>393</v>
      </c>
      <c r="J730" s="14">
        <f t="shared" si="46"/>
        <v>119</v>
      </c>
      <c r="K730">
        <v>1300</v>
      </c>
      <c r="N730" t="s">
        <v>54</v>
      </c>
      <c r="Q730" t="s">
        <v>934</v>
      </c>
      <c r="W730" t="s">
        <v>1234</v>
      </c>
      <c r="X730" t="s">
        <v>40</v>
      </c>
      <c r="Y730" t="s">
        <v>40</v>
      </c>
      <c r="AA730">
        <f t="shared" si="47"/>
        <v>11.9</v>
      </c>
      <c r="AB730">
        <v>37.4</v>
      </c>
      <c r="AC730">
        <f t="shared" si="45"/>
        <v>0.10985835350338148</v>
      </c>
      <c r="AI730" t="e">
        <f>IF(Y730="Yes",NA(),#REF!)</f>
        <v>#N/A</v>
      </c>
      <c r="AJ730" t="e">
        <f>IF(Y730="Yes",NA(),#REF!)</f>
        <v>#N/A</v>
      </c>
      <c r="AK730" t="e">
        <f>IF(Y730="Yes",NA(),#REF!)</f>
        <v>#N/A</v>
      </c>
    </row>
    <row r="731" spans="1:37" x14ac:dyDescent="0.35">
      <c r="A731" s="12">
        <v>731</v>
      </c>
      <c r="C731">
        <v>75</v>
      </c>
      <c r="E731" s="2">
        <v>8.6999999999999993</v>
      </c>
      <c r="F731" s="2">
        <v>6.5</v>
      </c>
      <c r="G731" t="s">
        <v>104</v>
      </c>
      <c r="H731" t="s">
        <v>1002</v>
      </c>
      <c r="J731" s="14">
        <f t="shared" si="46"/>
        <v>416</v>
      </c>
      <c r="K731">
        <v>1300</v>
      </c>
      <c r="N731" t="s">
        <v>1235</v>
      </c>
      <c r="Q731">
        <v>4</v>
      </c>
      <c r="U731">
        <v>3</v>
      </c>
      <c r="W731" t="s">
        <v>1236</v>
      </c>
      <c r="X731" t="s">
        <v>40</v>
      </c>
      <c r="Y731" t="s">
        <v>40</v>
      </c>
      <c r="AA731">
        <f t="shared" si="47"/>
        <v>41.6</v>
      </c>
      <c r="AB731">
        <v>130.69999999999999</v>
      </c>
      <c r="AC731">
        <f t="shared" si="45"/>
        <v>1.3416556272255273</v>
      </c>
      <c r="AI731" t="e">
        <f>IF(Y731="Yes",NA(),#REF!)</f>
        <v>#N/A</v>
      </c>
      <c r="AJ731" t="e">
        <f>IF(Y731="Yes",NA(),#REF!)</f>
        <v>#N/A</v>
      </c>
      <c r="AK731" t="e">
        <f>IF(Y731="Yes",NA(),#REF!)</f>
        <v>#N/A</v>
      </c>
    </row>
    <row r="732" spans="1:37" x14ac:dyDescent="0.35">
      <c r="A732" s="12">
        <v>732</v>
      </c>
      <c r="C732">
        <v>75</v>
      </c>
      <c r="E732" s="2">
        <v>3.5</v>
      </c>
      <c r="F732" s="2">
        <v>6</v>
      </c>
      <c r="G732" t="s">
        <v>34</v>
      </c>
      <c r="H732" t="s">
        <v>35</v>
      </c>
      <c r="J732" s="14">
        <f t="shared" si="46"/>
        <v>126.4</v>
      </c>
      <c r="K732">
        <v>1300</v>
      </c>
      <c r="N732" t="s">
        <v>54</v>
      </c>
      <c r="Q732">
        <v>1</v>
      </c>
      <c r="W732" t="s">
        <v>1237</v>
      </c>
      <c r="X732" t="s">
        <v>40</v>
      </c>
      <c r="Y732" t="s">
        <v>40</v>
      </c>
      <c r="Z732" t="s">
        <v>1238</v>
      </c>
      <c r="AA732">
        <f t="shared" si="47"/>
        <v>12.64</v>
      </c>
      <c r="AB732">
        <v>39.700000000000003</v>
      </c>
      <c r="AC732">
        <f t="shared" si="45"/>
        <v>0.12378581913490844</v>
      </c>
      <c r="AI732" t="e">
        <f>IF(Y732="Yes",NA(),#REF!)</f>
        <v>#N/A</v>
      </c>
      <c r="AJ732" t="e">
        <f>IF(Y732="Yes",NA(),#REF!)</f>
        <v>#N/A</v>
      </c>
      <c r="AK732" t="e">
        <f>IF(Y732="Yes",NA(),#REF!)</f>
        <v>#N/A</v>
      </c>
    </row>
    <row r="733" spans="1:37" x14ac:dyDescent="0.35">
      <c r="A733" s="12">
        <v>733</v>
      </c>
      <c r="C733">
        <v>75</v>
      </c>
      <c r="E733" s="2">
        <v>4</v>
      </c>
      <c r="F733" s="2">
        <v>7</v>
      </c>
      <c r="G733" t="s">
        <v>495</v>
      </c>
      <c r="H733" t="s">
        <v>496</v>
      </c>
      <c r="J733" s="14">
        <f t="shared" si="46"/>
        <v>185.6</v>
      </c>
      <c r="K733">
        <v>1300</v>
      </c>
      <c r="N733" t="s">
        <v>37</v>
      </c>
      <c r="Q733" t="s">
        <v>38</v>
      </c>
      <c r="W733" t="s">
        <v>1239</v>
      </c>
      <c r="X733" t="s">
        <v>40</v>
      </c>
      <c r="Y733" t="s">
        <v>40</v>
      </c>
      <c r="AA733">
        <f t="shared" si="47"/>
        <v>18.559999999999999</v>
      </c>
      <c r="AB733">
        <v>58.3</v>
      </c>
      <c r="AC733">
        <f t="shared" si="45"/>
        <v>0.2669481963589953</v>
      </c>
      <c r="AI733" t="e">
        <f>IF(Y733="Yes",NA(),#REF!)</f>
        <v>#N/A</v>
      </c>
      <c r="AJ733" t="e">
        <f>IF(Y733="Yes",NA(),#REF!)</f>
        <v>#N/A</v>
      </c>
      <c r="AK733" t="e">
        <f>IF(Y733="Yes",NA(),#REF!)</f>
        <v>#N/A</v>
      </c>
    </row>
    <row r="734" spans="1:37" x14ac:dyDescent="0.35">
      <c r="A734" s="12">
        <v>734</v>
      </c>
      <c r="C734">
        <v>75</v>
      </c>
      <c r="E734" s="2">
        <v>3</v>
      </c>
      <c r="F734" s="2">
        <v>9</v>
      </c>
      <c r="G734" t="s">
        <v>114</v>
      </c>
      <c r="H734" t="s">
        <v>35</v>
      </c>
      <c r="I734" t="s">
        <v>1240</v>
      </c>
      <c r="J734" s="14">
        <f t="shared" si="46"/>
        <v>115.19999999999999</v>
      </c>
      <c r="K734">
        <v>1300</v>
      </c>
      <c r="N734" t="s">
        <v>54</v>
      </c>
      <c r="Q734" t="s">
        <v>55</v>
      </c>
      <c r="W734" t="s">
        <v>1241</v>
      </c>
      <c r="X734" t="s">
        <v>40</v>
      </c>
      <c r="Y734" t="s">
        <v>40</v>
      </c>
      <c r="AA734">
        <f t="shared" si="47"/>
        <v>11.52</v>
      </c>
      <c r="AB734">
        <v>36.200000000000003</v>
      </c>
      <c r="AC734">
        <f t="shared" si="45"/>
        <v>0.10292171692425522</v>
      </c>
      <c r="AI734" t="e">
        <f>IF(Y734="Yes",NA(),#REF!)</f>
        <v>#N/A</v>
      </c>
      <c r="AJ734" t="e">
        <f>IF(Y734="Yes",NA(),#REF!)</f>
        <v>#N/A</v>
      </c>
      <c r="AK734" t="e">
        <f>IF(Y734="Yes",NA(),#REF!)</f>
        <v>#N/A</v>
      </c>
    </row>
    <row r="735" spans="1:37" x14ac:dyDescent="0.35">
      <c r="A735" s="12">
        <v>735</v>
      </c>
      <c r="B735" s="28"/>
      <c r="C735" s="28">
        <v>75</v>
      </c>
      <c r="D735" s="28"/>
      <c r="E735" s="2">
        <v>1.2</v>
      </c>
      <c r="F735" s="2">
        <v>7</v>
      </c>
      <c r="G735" s="28" t="s">
        <v>114</v>
      </c>
      <c r="H735" s="28" t="s">
        <v>35</v>
      </c>
      <c r="I735" s="28"/>
      <c r="J735" s="14">
        <f t="shared" si="46"/>
        <v>102.5</v>
      </c>
      <c r="K735" s="28">
        <v>1300</v>
      </c>
      <c r="L735" s="28"/>
      <c r="M735" s="28"/>
      <c r="N735" s="28" t="s">
        <v>54</v>
      </c>
      <c r="O735" s="28"/>
      <c r="P735" s="28"/>
      <c r="Q735" s="28" t="s">
        <v>934</v>
      </c>
      <c r="R735" s="28"/>
      <c r="S735" s="28"/>
      <c r="T735" s="28"/>
      <c r="U735" s="28"/>
      <c r="V735" s="28"/>
      <c r="W735" s="28" t="s">
        <v>1242</v>
      </c>
      <c r="X735" s="28" t="s">
        <v>40</v>
      </c>
      <c r="Y735" s="28" t="s">
        <v>40</v>
      </c>
      <c r="Z735" s="28"/>
      <c r="AA735" s="28">
        <f t="shared" si="47"/>
        <v>10.25</v>
      </c>
      <c r="AB735" s="28">
        <v>32.200000000000003</v>
      </c>
      <c r="AC735" s="28">
        <f t="shared" si="45"/>
        <v>8.1433223173701039E-2</v>
      </c>
      <c r="AI735" t="e">
        <f>IF(Y735="Yes",NA(),#REF!)</f>
        <v>#N/A</v>
      </c>
      <c r="AJ735" t="e">
        <f>IF(Y735="Yes",NA(),#REF!)</f>
        <v>#N/A</v>
      </c>
      <c r="AK735" t="e">
        <f>IF(Y735="Yes",NA(),#REF!)</f>
        <v>#N/A</v>
      </c>
    </row>
    <row r="736" spans="1:37" x14ac:dyDescent="0.35">
      <c r="A736" s="12">
        <v>736</v>
      </c>
      <c r="B736" t="s">
        <v>1243</v>
      </c>
      <c r="C736">
        <v>75</v>
      </c>
      <c r="E736" s="2">
        <v>1</v>
      </c>
      <c r="F736" s="2">
        <v>5</v>
      </c>
      <c r="G736" t="s">
        <v>34</v>
      </c>
      <c r="H736" t="s">
        <v>35</v>
      </c>
      <c r="J736" s="14">
        <f t="shared" si="46"/>
        <v>116.19999999999999</v>
      </c>
      <c r="K736">
        <v>1300</v>
      </c>
      <c r="N736" t="s">
        <v>37</v>
      </c>
      <c r="Q736" t="s">
        <v>934</v>
      </c>
      <c r="W736" t="s">
        <v>1244</v>
      </c>
      <c r="X736" t="s">
        <v>40</v>
      </c>
      <c r="Y736" t="s">
        <v>40</v>
      </c>
      <c r="Z736" t="s">
        <v>1245</v>
      </c>
      <c r="AA736">
        <f t="shared" si="47"/>
        <v>11.62</v>
      </c>
      <c r="AB736">
        <v>36.5</v>
      </c>
      <c r="AC736">
        <f t="shared" si="45"/>
        <v>0.10463467031862504</v>
      </c>
      <c r="AI736" t="e">
        <f>IF(Y736="Yes",NA(),#REF!)</f>
        <v>#N/A</v>
      </c>
      <c r="AJ736" t="e">
        <f>IF(Y736="Yes",NA(),#REF!)</f>
        <v>#N/A</v>
      </c>
      <c r="AK736" t="e">
        <f>IF(Y736="Yes",NA(),#REF!)</f>
        <v>#N/A</v>
      </c>
    </row>
    <row r="737" spans="1:37" x14ac:dyDescent="0.35">
      <c r="A737" s="12">
        <v>737</v>
      </c>
      <c r="C737">
        <v>75</v>
      </c>
      <c r="E737" s="2">
        <v>1.8</v>
      </c>
      <c r="F737" s="2">
        <v>4.7</v>
      </c>
      <c r="G737" t="s">
        <v>166</v>
      </c>
      <c r="H737" t="s">
        <v>35</v>
      </c>
      <c r="J737" s="14">
        <f t="shared" si="46"/>
        <v>107.30000000000001</v>
      </c>
      <c r="K737">
        <v>1300</v>
      </c>
      <c r="N737" t="s">
        <v>61</v>
      </c>
      <c r="Q737">
        <v>1</v>
      </c>
      <c r="W737" t="s">
        <v>1246</v>
      </c>
      <c r="X737" t="s">
        <v>40</v>
      </c>
      <c r="Y737" t="s">
        <v>40</v>
      </c>
      <c r="AA737">
        <f t="shared" si="47"/>
        <v>10.73</v>
      </c>
      <c r="AB737">
        <v>33.700000000000003</v>
      </c>
      <c r="AC737">
        <f t="shared" si="45"/>
        <v>8.9196884018884828E-2</v>
      </c>
      <c r="AI737" t="e">
        <f>IF(Y737="Yes",NA(),#REF!)</f>
        <v>#N/A</v>
      </c>
      <c r="AJ737" t="e">
        <f>IF(Y737="Yes",NA(),#REF!)</f>
        <v>#N/A</v>
      </c>
      <c r="AK737" t="e">
        <f>IF(Y737="Yes",NA(),#REF!)</f>
        <v>#N/A</v>
      </c>
    </row>
    <row r="738" spans="1:37" x14ac:dyDescent="0.35">
      <c r="A738" s="12">
        <v>738</v>
      </c>
      <c r="C738">
        <v>74</v>
      </c>
      <c r="E738" s="23">
        <v>1.8</v>
      </c>
      <c r="F738" s="23">
        <v>3.5</v>
      </c>
      <c r="G738" t="s">
        <v>34</v>
      </c>
      <c r="H738" t="s">
        <v>1247</v>
      </c>
      <c r="J738" s="14">
        <f t="shared" si="46"/>
        <v>108.9</v>
      </c>
      <c r="K738">
        <v>1300</v>
      </c>
      <c r="N738" t="s">
        <v>218</v>
      </c>
      <c r="Q738">
        <v>1</v>
      </c>
      <c r="U738">
        <v>3</v>
      </c>
      <c r="W738" t="s">
        <v>1248</v>
      </c>
      <c r="X738" t="s">
        <v>40</v>
      </c>
      <c r="Y738" t="s">
        <v>40</v>
      </c>
      <c r="AA738">
        <f t="shared" si="47"/>
        <v>10.89</v>
      </c>
      <c r="AB738" s="26">
        <v>34.200000000000003</v>
      </c>
      <c r="AC738">
        <f t="shared" si="45"/>
        <v>9.1863310783619159E-2</v>
      </c>
      <c r="AI738" t="e">
        <f>IF(Y738="Yes",NA(),#REF!)</f>
        <v>#N/A</v>
      </c>
      <c r="AJ738" t="e">
        <f>IF(Y738="Yes",NA(),#REF!)</f>
        <v>#N/A</v>
      </c>
      <c r="AK738" t="e">
        <f>IF(Y738="Yes",NA(),#REF!)</f>
        <v>#N/A</v>
      </c>
    </row>
    <row r="739" spans="1:37" x14ac:dyDescent="0.35">
      <c r="A739" s="12">
        <v>739</v>
      </c>
      <c r="C739">
        <v>74</v>
      </c>
      <c r="E739" s="2">
        <v>2</v>
      </c>
      <c r="F739" s="2">
        <v>4</v>
      </c>
      <c r="G739" t="s">
        <v>495</v>
      </c>
      <c r="H739" t="s">
        <v>496</v>
      </c>
      <c r="J739" s="14">
        <f t="shared" si="46"/>
        <v>155</v>
      </c>
      <c r="K739">
        <v>1300</v>
      </c>
      <c r="N739" t="s">
        <v>54</v>
      </c>
      <c r="Q739" t="s">
        <v>38</v>
      </c>
      <c r="U739">
        <v>3</v>
      </c>
      <c r="W739" t="s">
        <v>1249</v>
      </c>
      <c r="X739" t="s">
        <v>40</v>
      </c>
      <c r="Y739" t="s">
        <v>40</v>
      </c>
      <c r="AA739">
        <f t="shared" si="47"/>
        <v>15.5</v>
      </c>
      <c r="AB739">
        <v>48.7</v>
      </c>
      <c r="AC739">
        <f t="shared" si="45"/>
        <v>0.18627209701480943</v>
      </c>
      <c r="AI739" t="e">
        <f>IF(Y739="Yes",NA(),#REF!)</f>
        <v>#N/A</v>
      </c>
      <c r="AJ739" t="e">
        <f>IF(Y739="Yes",NA(),#REF!)</f>
        <v>#N/A</v>
      </c>
      <c r="AK739" t="e">
        <f>IF(Y739="Yes",NA(),#REF!)</f>
        <v>#N/A</v>
      </c>
    </row>
    <row r="740" spans="1:37" x14ac:dyDescent="0.35">
      <c r="A740" s="12">
        <v>740</v>
      </c>
      <c r="C740">
        <v>74</v>
      </c>
      <c r="E740" s="2">
        <v>4</v>
      </c>
      <c r="F740" s="2">
        <v>4</v>
      </c>
      <c r="G740" t="s">
        <v>63</v>
      </c>
      <c r="H740" t="s">
        <v>64</v>
      </c>
      <c r="J740" s="14">
        <f t="shared" si="46"/>
        <v>122.2</v>
      </c>
      <c r="K740">
        <v>1300</v>
      </c>
      <c r="N740" t="s">
        <v>37</v>
      </c>
      <c r="Q740" t="s">
        <v>934</v>
      </c>
      <c r="W740" t="s">
        <v>1250</v>
      </c>
      <c r="AA740">
        <f t="shared" si="47"/>
        <v>12.22</v>
      </c>
      <c r="AB740">
        <v>38.4</v>
      </c>
      <c r="AC740">
        <f t="shared" si="45"/>
        <v>0.11581167158193414</v>
      </c>
      <c r="AI740" t="e">
        <f>IF(Y740="Yes",NA(),#REF!)</f>
        <v>#REF!</v>
      </c>
      <c r="AJ740" t="e">
        <f>IF(Y740="Yes",NA(),#REF!)</f>
        <v>#REF!</v>
      </c>
      <c r="AK740" t="e">
        <f>IF(Y740="Yes",NA(),#REF!)</f>
        <v>#REF!</v>
      </c>
    </row>
    <row r="741" spans="1:37" x14ac:dyDescent="0.35">
      <c r="A741" s="12">
        <v>741</v>
      </c>
      <c r="C741">
        <v>74</v>
      </c>
      <c r="E741" s="2">
        <v>1.8</v>
      </c>
      <c r="F741" s="2">
        <v>3</v>
      </c>
      <c r="G741" t="s">
        <v>34</v>
      </c>
      <c r="H741" t="s">
        <v>35</v>
      </c>
      <c r="J741" s="14">
        <f t="shared" si="46"/>
        <v>228.5</v>
      </c>
      <c r="K741">
        <v>1300</v>
      </c>
      <c r="N741" t="s">
        <v>81</v>
      </c>
      <c r="Q741" t="s">
        <v>38</v>
      </c>
      <c r="U741">
        <v>3</v>
      </c>
      <c r="W741" t="s">
        <v>1251</v>
      </c>
      <c r="X741" t="s">
        <v>40</v>
      </c>
      <c r="Y741" t="s">
        <v>40</v>
      </c>
      <c r="AA741">
        <f t="shared" si="47"/>
        <v>22.85</v>
      </c>
      <c r="AB741">
        <v>71.8</v>
      </c>
      <c r="AC741">
        <f t="shared" si="45"/>
        <v>0.40489160278730613</v>
      </c>
      <c r="AI741" t="e">
        <f>IF(Y741="Yes",NA(),#REF!)</f>
        <v>#N/A</v>
      </c>
      <c r="AJ741" t="e">
        <f>IF(Y741="Yes",NA(),#REF!)</f>
        <v>#N/A</v>
      </c>
      <c r="AK741" t="e">
        <f>IF(Y741="Yes",NA(),#REF!)</f>
        <v>#N/A</v>
      </c>
    </row>
    <row r="742" spans="1:37" x14ac:dyDescent="0.35">
      <c r="A742" s="12">
        <v>742</v>
      </c>
      <c r="C742">
        <v>74</v>
      </c>
      <c r="E742" s="2">
        <v>5.6</v>
      </c>
      <c r="F742" s="2">
        <v>2</v>
      </c>
      <c r="G742" t="s">
        <v>63</v>
      </c>
      <c r="H742" t="s">
        <v>64</v>
      </c>
      <c r="J742" s="14">
        <f t="shared" si="46"/>
        <v>111.1</v>
      </c>
      <c r="K742">
        <v>1300</v>
      </c>
      <c r="N742" t="s">
        <v>54</v>
      </c>
      <c r="Q742" t="s">
        <v>134</v>
      </c>
      <c r="W742" t="s">
        <v>1252</v>
      </c>
      <c r="AA742">
        <f t="shared" si="47"/>
        <v>11.11</v>
      </c>
      <c r="AB742">
        <v>34.9</v>
      </c>
      <c r="AC742">
        <f t="shared" si="45"/>
        <v>9.5662281699972582E-2</v>
      </c>
      <c r="AI742" t="e">
        <f>IF(Y742="Yes",NA(),#REF!)</f>
        <v>#REF!</v>
      </c>
      <c r="AJ742" t="e">
        <f>IF(Y742="Yes",NA(),#REF!)</f>
        <v>#REF!</v>
      </c>
      <c r="AK742" t="e">
        <f>IF(Y742="Yes",NA(),#REF!)</f>
        <v>#REF!</v>
      </c>
    </row>
    <row r="743" spans="1:37" x14ac:dyDescent="0.35">
      <c r="A743" s="12">
        <v>743</v>
      </c>
      <c r="C743">
        <v>74</v>
      </c>
      <c r="E743" s="2">
        <v>8</v>
      </c>
      <c r="F743" s="2">
        <v>1</v>
      </c>
      <c r="G743" t="s">
        <v>63</v>
      </c>
      <c r="H743" t="s">
        <v>64</v>
      </c>
      <c r="J743" s="14">
        <f t="shared" si="46"/>
        <v>134.30000000000001</v>
      </c>
      <c r="K743">
        <v>1300</v>
      </c>
      <c r="N743" t="s">
        <v>54</v>
      </c>
      <c r="Q743" t="s">
        <v>152</v>
      </c>
      <c r="W743" t="s">
        <v>1253</v>
      </c>
      <c r="AA743">
        <f t="shared" si="47"/>
        <v>13.43</v>
      </c>
      <c r="AB743">
        <v>42.2</v>
      </c>
      <c r="AC743">
        <f t="shared" si="45"/>
        <v>0.13986684653047121</v>
      </c>
      <c r="AI743" t="e">
        <f>IF(Y743="Yes",NA(),#REF!)</f>
        <v>#REF!</v>
      </c>
      <c r="AJ743" t="e">
        <f>IF(Y743="Yes",NA(),#REF!)</f>
        <v>#REF!</v>
      </c>
      <c r="AK743" t="e">
        <f>IF(Y743="Yes",NA(),#REF!)</f>
        <v>#REF!</v>
      </c>
    </row>
    <row r="744" spans="1:37" x14ac:dyDescent="0.35">
      <c r="A744" s="12">
        <v>744</v>
      </c>
      <c r="C744">
        <v>74</v>
      </c>
      <c r="E744" s="23">
        <v>8</v>
      </c>
      <c r="F744" s="23">
        <v>3.5</v>
      </c>
      <c r="G744" t="s">
        <v>467</v>
      </c>
      <c r="H744" t="s">
        <v>1254</v>
      </c>
      <c r="I744" t="s">
        <v>702</v>
      </c>
      <c r="J744" s="14">
        <f t="shared" si="46"/>
        <v>175.10000000000002</v>
      </c>
      <c r="K744">
        <v>1300</v>
      </c>
      <c r="N744" t="s">
        <v>54</v>
      </c>
      <c r="Q744" t="s">
        <v>38</v>
      </c>
      <c r="U744">
        <v>3</v>
      </c>
      <c r="W744" t="s">
        <v>1255</v>
      </c>
      <c r="X744" t="s">
        <v>40</v>
      </c>
      <c r="Y744" t="s">
        <v>40</v>
      </c>
      <c r="AA744">
        <f t="shared" si="47"/>
        <v>17.510000000000002</v>
      </c>
      <c r="AB744" s="26">
        <v>55</v>
      </c>
      <c r="AC744">
        <f t="shared" si="45"/>
        <v>0.23758294442772812</v>
      </c>
      <c r="AI744" t="e">
        <f>IF(Y744="Yes",NA(),#REF!)</f>
        <v>#N/A</v>
      </c>
      <c r="AJ744" t="e">
        <f>IF(Y744="Yes",NA(),#REF!)</f>
        <v>#N/A</v>
      </c>
      <c r="AK744" t="e">
        <f>IF(Y744="Yes",NA(),#REF!)</f>
        <v>#N/A</v>
      </c>
    </row>
    <row r="745" spans="1:37" x14ac:dyDescent="0.35">
      <c r="A745" s="12">
        <v>745</v>
      </c>
      <c r="C745">
        <v>74</v>
      </c>
      <c r="E745" s="2">
        <v>8</v>
      </c>
      <c r="F745" s="2">
        <v>6</v>
      </c>
      <c r="G745" t="s">
        <v>63</v>
      </c>
      <c r="H745" t="s">
        <v>64</v>
      </c>
      <c r="J745" s="14">
        <f t="shared" si="46"/>
        <v>118.10000000000001</v>
      </c>
      <c r="K745">
        <v>1300</v>
      </c>
      <c r="N745" t="s">
        <v>54</v>
      </c>
      <c r="Q745" t="s">
        <v>152</v>
      </c>
      <c r="W745" t="s">
        <v>1256</v>
      </c>
      <c r="AA745">
        <f t="shared" si="47"/>
        <v>11.81</v>
      </c>
      <c r="AB745">
        <v>37.1</v>
      </c>
      <c r="AC745">
        <f t="shared" si="45"/>
        <v>0.10810298860818818</v>
      </c>
      <c r="AI745" t="e">
        <f>IF(Y745="Yes",NA(),#REF!)</f>
        <v>#REF!</v>
      </c>
      <c r="AJ745" t="e">
        <f>IF(Y745="Yes",NA(),#REF!)</f>
        <v>#REF!</v>
      </c>
      <c r="AK745" t="e">
        <f>IF(Y745="Yes",NA(),#REF!)</f>
        <v>#REF!</v>
      </c>
    </row>
    <row r="746" spans="1:37" x14ac:dyDescent="0.35">
      <c r="A746" s="12">
        <v>746</v>
      </c>
      <c r="C746">
        <v>74</v>
      </c>
      <c r="E746" s="2">
        <v>6</v>
      </c>
      <c r="F746" s="2">
        <v>7</v>
      </c>
      <c r="G746" t="s">
        <v>63</v>
      </c>
      <c r="H746" t="s">
        <v>64</v>
      </c>
      <c r="J746" s="14">
        <f t="shared" si="46"/>
        <v>127</v>
      </c>
      <c r="K746">
        <v>1300</v>
      </c>
      <c r="N746" t="s">
        <v>54</v>
      </c>
      <c r="Q746" t="s">
        <v>934</v>
      </c>
      <c r="W746" t="s">
        <v>1257</v>
      </c>
      <c r="AA746">
        <f t="shared" si="47"/>
        <v>12.7</v>
      </c>
      <c r="AB746">
        <v>39.9</v>
      </c>
      <c r="AC746">
        <f t="shared" si="45"/>
        <v>0.12503617301103717</v>
      </c>
      <c r="AI746" t="e">
        <f>IF(Y746="Yes",NA(),#REF!)</f>
        <v>#REF!</v>
      </c>
      <c r="AJ746" t="e">
        <f>IF(Y746="Yes",NA(),#REF!)</f>
        <v>#REF!</v>
      </c>
      <c r="AK746" t="e">
        <f>IF(Y746="Yes",NA(),#REF!)</f>
        <v>#REF!</v>
      </c>
    </row>
    <row r="747" spans="1:37" x14ac:dyDescent="0.35">
      <c r="A747" s="12">
        <v>747</v>
      </c>
      <c r="C747">
        <v>74</v>
      </c>
      <c r="E747" s="2">
        <v>5</v>
      </c>
      <c r="F747" s="2">
        <v>7</v>
      </c>
      <c r="G747" t="s">
        <v>63</v>
      </c>
      <c r="H747" t="s">
        <v>64</v>
      </c>
      <c r="J747" s="14">
        <f t="shared" si="46"/>
        <v>124.1</v>
      </c>
      <c r="K747">
        <v>1300</v>
      </c>
      <c r="N747" t="s">
        <v>61</v>
      </c>
      <c r="Q747" t="s">
        <v>152</v>
      </c>
      <c r="W747" t="s">
        <v>1258</v>
      </c>
      <c r="AA747">
        <f t="shared" si="47"/>
        <v>12.41</v>
      </c>
      <c r="AB747">
        <v>39</v>
      </c>
      <c r="AC747">
        <f t="shared" si="45"/>
        <v>0.11945906065275187</v>
      </c>
      <c r="AI747" t="e">
        <f>IF(Y747="Yes",NA(),#REF!)</f>
        <v>#REF!</v>
      </c>
      <c r="AJ747" t="e">
        <f>IF(Y747="Yes",NA(),#REF!)</f>
        <v>#REF!</v>
      </c>
      <c r="AK747" t="e">
        <f>IF(Y747="Yes",NA(),#REF!)</f>
        <v>#REF!</v>
      </c>
    </row>
    <row r="748" spans="1:37" x14ac:dyDescent="0.35">
      <c r="A748" s="12">
        <v>748</v>
      </c>
      <c r="C748">
        <v>74</v>
      </c>
      <c r="E748" s="2">
        <v>5</v>
      </c>
      <c r="F748" s="2">
        <v>8</v>
      </c>
      <c r="G748" t="s">
        <v>114</v>
      </c>
      <c r="H748" t="s">
        <v>35</v>
      </c>
      <c r="J748" s="14">
        <f t="shared" si="46"/>
        <v>120.3</v>
      </c>
      <c r="K748">
        <v>1300</v>
      </c>
      <c r="N748" t="s">
        <v>61</v>
      </c>
      <c r="Q748" t="s">
        <v>934</v>
      </c>
      <c r="U748">
        <v>4</v>
      </c>
      <c r="W748" t="s">
        <v>1259</v>
      </c>
      <c r="X748" t="s">
        <v>40</v>
      </c>
      <c r="Y748" t="s">
        <v>40</v>
      </c>
      <c r="AA748">
        <f t="shared" si="47"/>
        <v>12.03</v>
      </c>
      <c r="AB748">
        <v>37.799999999999997</v>
      </c>
      <c r="AC748">
        <f t="shared" si="45"/>
        <v>0.11222083117888099</v>
      </c>
      <c r="AI748" t="e">
        <f>IF(Y748="Yes",NA(),#REF!)</f>
        <v>#N/A</v>
      </c>
      <c r="AJ748" t="e">
        <f>IF(Y748="Yes",NA(),#REF!)</f>
        <v>#N/A</v>
      </c>
      <c r="AK748" t="e">
        <f>IF(Y748="Yes",NA(),#REF!)</f>
        <v>#N/A</v>
      </c>
    </row>
    <row r="749" spans="1:37" x14ac:dyDescent="0.35">
      <c r="A749" s="12">
        <v>749</v>
      </c>
      <c r="C749">
        <v>74</v>
      </c>
      <c r="E749" s="2">
        <v>5</v>
      </c>
      <c r="F749" s="2">
        <v>8.5</v>
      </c>
      <c r="G749" t="s">
        <v>34</v>
      </c>
      <c r="H749" t="s">
        <v>1260</v>
      </c>
      <c r="J749" s="14">
        <f t="shared" si="46"/>
        <v>270.59999999999997</v>
      </c>
      <c r="K749">
        <v>1300</v>
      </c>
      <c r="N749" t="s">
        <v>61</v>
      </c>
      <c r="Q749">
        <v>4</v>
      </c>
      <c r="U749">
        <v>3</v>
      </c>
      <c r="W749" t="s">
        <v>1261</v>
      </c>
      <c r="X749" t="s">
        <v>40</v>
      </c>
      <c r="Y749" t="s">
        <v>40</v>
      </c>
      <c r="Z749" t="s">
        <v>1262</v>
      </c>
      <c r="AA749">
        <f t="shared" si="47"/>
        <v>27.06</v>
      </c>
      <c r="AB749">
        <v>85</v>
      </c>
      <c r="AC749">
        <f t="shared" si="45"/>
        <v>0.56745017305465639</v>
      </c>
      <c r="AI749" t="e">
        <f>IF(Y749="Yes",NA(),#REF!)</f>
        <v>#N/A</v>
      </c>
      <c r="AJ749" t="e">
        <f>IF(Y749="Yes",NA(),#REF!)</f>
        <v>#N/A</v>
      </c>
      <c r="AK749" t="e">
        <f>IF(Y749="Yes",NA(),#REF!)</f>
        <v>#N/A</v>
      </c>
    </row>
    <row r="750" spans="1:37" x14ac:dyDescent="0.35">
      <c r="A750" s="12">
        <v>750</v>
      </c>
      <c r="C750">
        <v>74</v>
      </c>
      <c r="E750" s="2">
        <v>4.5</v>
      </c>
      <c r="F750" s="2">
        <v>9</v>
      </c>
      <c r="G750" t="s">
        <v>213</v>
      </c>
      <c r="H750" t="s">
        <v>214</v>
      </c>
      <c r="J750" s="14">
        <f t="shared" si="46"/>
        <v>149.60000000000002</v>
      </c>
      <c r="K750">
        <v>1300</v>
      </c>
      <c r="N750" t="s">
        <v>54</v>
      </c>
      <c r="Q750" t="s">
        <v>38</v>
      </c>
      <c r="W750" t="s">
        <v>1263</v>
      </c>
      <c r="X750" t="s">
        <v>40</v>
      </c>
      <c r="Y750" t="s">
        <v>40</v>
      </c>
      <c r="AA750">
        <f t="shared" si="47"/>
        <v>14.96</v>
      </c>
      <c r="AB750">
        <v>47</v>
      </c>
      <c r="AC750">
        <f t="shared" si="45"/>
        <v>0.17349445429449634</v>
      </c>
      <c r="AI750" t="e">
        <f>IF(Y750="Yes",NA(),#REF!)</f>
        <v>#N/A</v>
      </c>
      <c r="AJ750" t="e">
        <f>IF(Y750="Yes",NA(),#REF!)</f>
        <v>#N/A</v>
      </c>
      <c r="AK750" t="e">
        <f>IF(Y750="Yes",NA(),#REF!)</f>
        <v>#N/A</v>
      </c>
    </row>
    <row r="751" spans="1:37" x14ac:dyDescent="0.35">
      <c r="A751" s="12">
        <v>751</v>
      </c>
      <c r="C751">
        <v>74</v>
      </c>
      <c r="E751" s="2">
        <v>3</v>
      </c>
      <c r="F751" s="2">
        <v>8.3000000000000007</v>
      </c>
      <c r="G751" t="s">
        <v>63</v>
      </c>
      <c r="H751" t="s">
        <v>64</v>
      </c>
      <c r="J751" s="14">
        <f t="shared" si="46"/>
        <v>125.1</v>
      </c>
      <c r="K751">
        <v>1300</v>
      </c>
      <c r="N751" t="s">
        <v>54</v>
      </c>
      <c r="Q751">
        <v>1</v>
      </c>
      <c r="W751" t="s">
        <v>1264</v>
      </c>
      <c r="AA751">
        <f t="shared" si="47"/>
        <v>12.51</v>
      </c>
      <c r="AB751">
        <v>39.299999999999997</v>
      </c>
      <c r="AC751">
        <f t="shared" si="45"/>
        <v>0.12130396093857246</v>
      </c>
      <c r="AI751" t="e">
        <f>IF(Y751="Yes",NA(),#REF!)</f>
        <v>#REF!</v>
      </c>
      <c r="AJ751" t="e">
        <f>IF(Y751="Yes",NA(),#REF!)</f>
        <v>#REF!</v>
      </c>
      <c r="AK751" t="e">
        <f>IF(Y751="Yes",NA(),#REF!)</f>
        <v>#REF!</v>
      </c>
    </row>
    <row r="752" spans="1:37" x14ac:dyDescent="0.35">
      <c r="A752" s="12">
        <v>752</v>
      </c>
      <c r="C752">
        <v>74</v>
      </c>
      <c r="E752" s="2">
        <v>1.5</v>
      </c>
      <c r="F752" s="2">
        <v>7</v>
      </c>
      <c r="G752" t="s">
        <v>34</v>
      </c>
      <c r="H752" t="s">
        <v>35</v>
      </c>
      <c r="J752" s="14">
        <f t="shared" si="46"/>
        <v>146.4</v>
      </c>
      <c r="K752">
        <v>1300</v>
      </c>
      <c r="N752" t="s">
        <v>54</v>
      </c>
      <c r="Q752" t="s">
        <v>934</v>
      </c>
      <c r="W752" t="s">
        <v>1265</v>
      </c>
      <c r="X752" t="s">
        <v>40</v>
      </c>
      <c r="Y752" t="s">
        <v>40</v>
      </c>
      <c r="AA752">
        <f t="shared" si="47"/>
        <v>14.64</v>
      </c>
      <c r="AB752">
        <v>46</v>
      </c>
      <c r="AC752">
        <f t="shared" si="45"/>
        <v>0.16619025137490004</v>
      </c>
      <c r="AI752" t="e">
        <f>IF(Y752="Yes",NA(),#REF!)</f>
        <v>#N/A</v>
      </c>
      <c r="AJ752" t="e">
        <f>IF(Y752="Yes",NA(),#REF!)</f>
        <v>#N/A</v>
      </c>
      <c r="AK752" t="e">
        <f>IF(Y752="Yes",NA(),#REF!)</f>
        <v>#N/A</v>
      </c>
    </row>
    <row r="753" spans="1:37" x14ac:dyDescent="0.35">
      <c r="A753" s="12">
        <v>753</v>
      </c>
      <c r="C753">
        <v>74</v>
      </c>
      <c r="E753" s="2">
        <v>3.5</v>
      </c>
      <c r="F753" s="2">
        <v>7.5</v>
      </c>
      <c r="G753" t="s">
        <v>66</v>
      </c>
      <c r="H753" t="s">
        <v>67</v>
      </c>
      <c r="J753" s="14">
        <f t="shared" si="46"/>
        <v>127.30000000000001</v>
      </c>
      <c r="K753">
        <v>1300</v>
      </c>
      <c r="N753" t="s">
        <v>54</v>
      </c>
      <c r="Q753" t="s">
        <v>55</v>
      </c>
      <c r="W753" t="s">
        <v>1266</v>
      </c>
      <c r="X753" t="s">
        <v>40</v>
      </c>
      <c r="Y753" t="s">
        <v>40</v>
      </c>
      <c r="AA753">
        <f t="shared" si="47"/>
        <v>12.73</v>
      </c>
      <c r="AB753" s="26">
        <v>40</v>
      </c>
      <c r="AC753">
        <f t="shared" si="45"/>
        <v>0.12566370614359174</v>
      </c>
      <c r="AI753" t="e">
        <f>IF(Y753="Yes",NA(),#REF!)</f>
        <v>#N/A</v>
      </c>
      <c r="AJ753" t="e">
        <f>IF(Y753="Yes",NA(),#REF!)</f>
        <v>#N/A</v>
      </c>
      <c r="AK753" t="e">
        <f>IF(Y753="Yes",NA(),#REF!)</f>
        <v>#N/A</v>
      </c>
    </row>
    <row r="754" spans="1:37" x14ac:dyDescent="0.35">
      <c r="A754" s="12">
        <v>754</v>
      </c>
      <c r="C754">
        <v>74</v>
      </c>
      <c r="E754" s="2">
        <v>1.7</v>
      </c>
      <c r="F754" s="2">
        <v>6</v>
      </c>
      <c r="G754" t="s">
        <v>70</v>
      </c>
      <c r="H754" t="s">
        <v>35</v>
      </c>
      <c r="J754" s="14">
        <f t="shared" si="46"/>
        <v>238.4</v>
      </c>
      <c r="K754">
        <v>1300</v>
      </c>
      <c r="N754" t="s">
        <v>54</v>
      </c>
      <c r="Q754">
        <v>5</v>
      </c>
      <c r="W754" t="s">
        <v>1267</v>
      </c>
      <c r="X754" t="s">
        <v>40</v>
      </c>
      <c r="Y754" t="s">
        <v>40</v>
      </c>
      <c r="AA754">
        <f t="shared" si="47"/>
        <v>23.84</v>
      </c>
      <c r="AB754">
        <v>74.900000000000006</v>
      </c>
      <c r="AC754">
        <f t="shared" si="45"/>
        <v>0.44060915506413195</v>
      </c>
      <c r="AI754" t="e">
        <f>IF(Y754="Yes",NA(),#REF!)</f>
        <v>#N/A</v>
      </c>
      <c r="AJ754" t="e">
        <f>IF(Y754="Yes",NA(),#REF!)</f>
        <v>#N/A</v>
      </c>
      <c r="AK754" t="e">
        <f>IF(Y754="Yes",NA(),#REF!)</f>
        <v>#N/A</v>
      </c>
    </row>
    <row r="755" spans="1:37" x14ac:dyDescent="0.35">
      <c r="A755" s="12">
        <v>755</v>
      </c>
      <c r="C755">
        <v>73</v>
      </c>
      <c r="E755" s="2">
        <v>1</v>
      </c>
      <c r="F755" s="2">
        <v>3.5</v>
      </c>
      <c r="G755" t="s">
        <v>63</v>
      </c>
      <c r="H755" t="s">
        <v>64</v>
      </c>
      <c r="J755" s="14">
        <f t="shared" si="46"/>
        <v>105.39999999999999</v>
      </c>
      <c r="K755">
        <v>1300</v>
      </c>
      <c r="N755" t="s">
        <v>54</v>
      </c>
      <c r="Q755" t="s">
        <v>152</v>
      </c>
      <c r="W755" t="s">
        <v>1268</v>
      </c>
      <c r="AA755">
        <f t="shared" si="47"/>
        <v>10.54</v>
      </c>
      <c r="AB755">
        <v>33.1</v>
      </c>
      <c r="AC755">
        <f t="shared" si="45"/>
        <v>8.604900817998784E-2</v>
      </c>
      <c r="AI755" t="e">
        <f>IF(Y755="Yes",NA(),#REF!)</f>
        <v>#REF!</v>
      </c>
      <c r="AJ755" t="e">
        <f>IF(Y755="Yes",NA(),#REF!)</f>
        <v>#REF!</v>
      </c>
      <c r="AK755" t="e">
        <f>IF(Y755="Yes",NA(),#REF!)</f>
        <v>#REF!</v>
      </c>
    </row>
    <row r="756" spans="1:37" x14ac:dyDescent="0.35">
      <c r="A756" s="12">
        <v>756</v>
      </c>
      <c r="C756">
        <v>73</v>
      </c>
      <c r="E756" s="2">
        <v>4</v>
      </c>
      <c r="F756" s="2">
        <v>5</v>
      </c>
      <c r="G756" t="s">
        <v>137</v>
      </c>
      <c r="H756" t="s">
        <v>138</v>
      </c>
      <c r="J756" s="14">
        <f t="shared" si="46"/>
        <v>134.60000000000002</v>
      </c>
      <c r="K756">
        <v>1300</v>
      </c>
      <c r="N756" t="s">
        <v>54</v>
      </c>
      <c r="Q756" t="s">
        <v>55</v>
      </c>
      <c r="W756" t="s">
        <v>1269</v>
      </c>
      <c r="X756" t="s">
        <v>40</v>
      </c>
      <c r="Y756" t="s">
        <v>40</v>
      </c>
      <c r="AA756">
        <f t="shared" si="47"/>
        <v>13.46</v>
      </c>
      <c r="AB756">
        <v>42.3</v>
      </c>
      <c r="AC756">
        <f t="shared" si="45"/>
        <v>0.140530507978542</v>
      </c>
      <c r="AI756" t="e">
        <f>IF(Y756="Yes",NA(),#REF!)</f>
        <v>#N/A</v>
      </c>
      <c r="AJ756" t="e">
        <f>IF(Y756="Yes",NA(),#REF!)</f>
        <v>#N/A</v>
      </c>
      <c r="AK756" t="e">
        <f>IF(Y756="Yes",NA(),#REF!)</f>
        <v>#N/A</v>
      </c>
    </row>
    <row r="757" spans="1:37" x14ac:dyDescent="0.35">
      <c r="A757" s="12">
        <v>757</v>
      </c>
      <c r="C757">
        <v>73</v>
      </c>
      <c r="E757" s="2">
        <v>4.5</v>
      </c>
      <c r="F757" s="2">
        <v>4</v>
      </c>
      <c r="G757" t="s">
        <v>47</v>
      </c>
      <c r="H757" t="s">
        <v>35</v>
      </c>
      <c r="J757" s="14">
        <f t="shared" si="46"/>
        <v>111.7</v>
      </c>
      <c r="K757">
        <v>1300</v>
      </c>
      <c r="N757" t="s">
        <v>54</v>
      </c>
      <c r="Q757">
        <v>1</v>
      </c>
      <c r="W757" t="s">
        <v>1270</v>
      </c>
      <c r="X757" t="s">
        <v>40</v>
      </c>
      <c r="Y757" t="s">
        <v>40</v>
      </c>
      <c r="AA757">
        <f t="shared" si="47"/>
        <v>11.17</v>
      </c>
      <c r="AB757">
        <v>35.1</v>
      </c>
      <c r="AC757">
        <f t="shared" si="45"/>
        <v>9.676183912872903E-2</v>
      </c>
      <c r="AI757" t="e">
        <f>IF(Y757="Yes",NA(),#REF!)</f>
        <v>#N/A</v>
      </c>
      <c r="AJ757" t="e">
        <f>IF(Y757="Yes",NA(),#REF!)</f>
        <v>#N/A</v>
      </c>
      <c r="AK757" t="e">
        <f>IF(Y757="Yes",NA(),#REF!)</f>
        <v>#N/A</v>
      </c>
    </row>
    <row r="758" spans="1:37" x14ac:dyDescent="0.35">
      <c r="A758" s="12">
        <v>758</v>
      </c>
      <c r="C758">
        <v>73</v>
      </c>
      <c r="E758" s="2">
        <v>7.5</v>
      </c>
      <c r="F758" s="2">
        <v>3</v>
      </c>
      <c r="G758" t="s">
        <v>47</v>
      </c>
      <c r="H758" t="s">
        <v>35</v>
      </c>
      <c r="J758" s="14">
        <f t="shared" si="46"/>
        <v>416</v>
      </c>
      <c r="K758">
        <v>1600</v>
      </c>
      <c r="N758" t="s">
        <v>54</v>
      </c>
      <c r="Q758">
        <v>5</v>
      </c>
      <c r="W758" t="s">
        <v>1271</v>
      </c>
      <c r="X758" t="s">
        <v>40</v>
      </c>
      <c r="Y758" t="s">
        <v>40</v>
      </c>
      <c r="Z758" t="s">
        <v>1272</v>
      </c>
      <c r="AA758">
        <f t="shared" si="47"/>
        <v>41.6</v>
      </c>
      <c r="AB758">
        <v>130.69999999999999</v>
      </c>
      <c r="AI758" t="e">
        <f>IF(Y758="Yes",NA(),#REF!)</f>
        <v>#N/A</v>
      </c>
      <c r="AJ758" t="e">
        <f>IF(Y758="Yes",NA(),#REF!)</f>
        <v>#N/A</v>
      </c>
      <c r="AK758" t="e">
        <f>IF(Y758="Yes",NA(),#REF!)</f>
        <v>#N/A</v>
      </c>
    </row>
    <row r="759" spans="1:37" x14ac:dyDescent="0.35">
      <c r="A759" s="12">
        <v>759</v>
      </c>
      <c r="C759">
        <v>73</v>
      </c>
      <c r="E759" s="2">
        <v>8</v>
      </c>
      <c r="F759" s="2">
        <v>1</v>
      </c>
      <c r="G759" t="s">
        <v>66</v>
      </c>
      <c r="H759" t="s">
        <v>35</v>
      </c>
      <c r="J759" s="14">
        <f t="shared" si="46"/>
        <v>225.39999999999998</v>
      </c>
      <c r="K759">
        <v>1300</v>
      </c>
      <c r="N759" t="s">
        <v>54</v>
      </c>
      <c r="Q759">
        <v>4</v>
      </c>
      <c r="W759" t="s">
        <v>1273</v>
      </c>
      <c r="X759" t="s">
        <v>40</v>
      </c>
      <c r="Y759" t="s">
        <v>40</v>
      </c>
      <c r="AA759">
        <f t="shared" si="47"/>
        <v>22.54</v>
      </c>
      <c r="AB759">
        <v>70.8</v>
      </c>
      <c r="AC759">
        <f t="shared" ref="AC759:AC790" si="48">PI()*(AB759/2)*(AB759/2)/10000</f>
        <v>0.39369182497725846</v>
      </c>
      <c r="AI759" t="e">
        <f>IF(Y759="Yes",NA(),#REF!)</f>
        <v>#N/A</v>
      </c>
      <c r="AJ759" t="e">
        <f>IF(Y759="Yes",NA(),#REF!)</f>
        <v>#N/A</v>
      </c>
      <c r="AK759" t="e">
        <f>IF(Y759="Yes",NA(),#REF!)</f>
        <v>#N/A</v>
      </c>
    </row>
    <row r="760" spans="1:37" x14ac:dyDescent="0.35">
      <c r="A760" s="12">
        <v>760</v>
      </c>
      <c r="C760">
        <v>73</v>
      </c>
      <c r="E760" s="2">
        <v>9.5</v>
      </c>
      <c r="F760" s="2">
        <v>5.5</v>
      </c>
      <c r="G760" t="s">
        <v>63</v>
      </c>
      <c r="H760" t="s">
        <v>64</v>
      </c>
      <c r="J760" s="14">
        <f t="shared" ref="J760:J823" si="49">ROUND(AB760/PI(), 2)*10</f>
        <v>99.9</v>
      </c>
      <c r="K760">
        <v>1300</v>
      </c>
      <c r="N760" t="s">
        <v>54</v>
      </c>
      <c r="Q760" t="s">
        <v>152</v>
      </c>
      <c r="W760" t="s">
        <v>1274</v>
      </c>
      <c r="AA760">
        <f t="shared" si="47"/>
        <v>9.99</v>
      </c>
      <c r="AB760">
        <v>31.4</v>
      </c>
      <c r="AC760">
        <f t="shared" si="48"/>
        <v>7.7437117318334803E-2</v>
      </c>
      <c r="AI760" t="e">
        <f>IF(Y760="Yes",NA(),#REF!)</f>
        <v>#REF!</v>
      </c>
      <c r="AJ760" t="e">
        <f>IF(Y760="Yes",NA(),#REF!)</f>
        <v>#REF!</v>
      </c>
      <c r="AK760" t="e">
        <f>IF(Y760="Yes",NA(),#REF!)</f>
        <v>#REF!</v>
      </c>
    </row>
    <row r="761" spans="1:37" x14ac:dyDescent="0.35">
      <c r="A761" s="12">
        <v>761</v>
      </c>
      <c r="C761">
        <v>73</v>
      </c>
      <c r="E761" s="2">
        <v>7.5</v>
      </c>
      <c r="F761" s="2">
        <v>5.7</v>
      </c>
      <c r="G761" t="s">
        <v>104</v>
      </c>
      <c r="H761" t="s">
        <v>1275</v>
      </c>
      <c r="J761" s="14">
        <f t="shared" si="49"/>
        <v>163</v>
      </c>
      <c r="K761">
        <v>1300</v>
      </c>
      <c r="N761" t="s">
        <v>54</v>
      </c>
      <c r="Q761" t="s">
        <v>55</v>
      </c>
      <c r="W761" t="s">
        <v>1276</v>
      </c>
      <c r="X761" t="s">
        <v>40</v>
      </c>
      <c r="Y761" t="s">
        <v>40</v>
      </c>
      <c r="AA761">
        <f t="shared" si="47"/>
        <v>16.3</v>
      </c>
      <c r="AB761">
        <v>51.2</v>
      </c>
      <c r="AC761">
        <f t="shared" si="48"/>
        <v>0.2058874161456607</v>
      </c>
      <c r="AI761" t="e">
        <f>IF(Y761="Yes",NA(),#REF!)</f>
        <v>#N/A</v>
      </c>
      <c r="AJ761" t="e">
        <f>IF(Y761="Yes",NA(),#REF!)</f>
        <v>#N/A</v>
      </c>
      <c r="AK761" t="e">
        <f>IF(Y761="Yes",NA(),#REF!)</f>
        <v>#N/A</v>
      </c>
    </row>
    <row r="762" spans="1:37" x14ac:dyDescent="0.35">
      <c r="A762" s="12">
        <v>762</v>
      </c>
      <c r="C762">
        <v>72</v>
      </c>
      <c r="E762" s="2">
        <v>1</v>
      </c>
      <c r="F762" s="2">
        <v>5</v>
      </c>
      <c r="G762" t="s">
        <v>114</v>
      </c>
      <c r="H762" t="s">
        <v>35</v>
      </c>
      <c r="J762" s="14">
        <f t="shared" si="49"/>
        <v>124.5</v>
      </c>
      <c r="K762">
        <v>1300</v>
      </c>
      <c r="N762" t="s">
        <v>54</v>
      </c>
      <c r="Q762" t="s">
        <v>152</v>
      </c>
      <c r="U762">
        <v>3</v>
      </c>
      <c r="W762" t="s">
        <v>1277</v>
      </c>
      <c r="X762" t="s">
        <v>40</v>
      </c>
      <c r="Y762" t="s">
        <v>40</v>
      </c>
      <c r="AA762">
        <f t="shared" si="47"/>
        <v>12.45</v>
      </c>
      <c r="AB762">
        <v>39.1</v>
      </c>
      <c r="AC762">
        <f t="shared" si="48"/>
        <v>0.1200724566183653</v>
      </c>
      <c r="AI762" t="e">
        <f>IF(Y762="Yes",NA(),#REF!)</f>
        <v>#N/A</v>
      </c>
      <c r="AJ762" t="e">
        <f>IF(Y762="Yes",NA(),#REF!)</f>
        <v>#N/A</v>
      </c>
      <c r="AK762" t="e">
        <f>IF(Y762="Yes",NA(),#REF!)</f>
        <v>#N/A</v>
      </c>
    </row>
    <row r="763" spans="1:37" x14ac:dyDescent="0.35">
      <c r="A763" s="12">
        <v>763</v>
      </c>
      <c r="C763">
        <v>72</v>
      </c>
      <c r="E763" s="2">
        <v>3.5</v>
      </c>
      <c r="F763" s="2">
        <v>4</v>
      </c>
      <c r="G763" t="s">
        <v>42</v>
      </c>
      <c r="H763" t="s">
        <v>1278</v>
      </c>
      <c r="I763" t="s">
        <v>1278</v>
      </c>
      <c r="J763" s="14">
        <f t="shared" si="49"/>
        <v>318.29999999999995</v>
      </c>
      <c r="K763">
        <v>1300</v>
      </c>
      <c r="N763" t="s">
        <v>252</v>
      </c>
      <c r="Q763">
        <v>5</v>
      </c>
      <c r="W763" t="s">
        <v>1279</v>
      </c>
      <c r="X763" t="s">
        <v>40</v>
      </c>
      <c r="Y763" t="s">
        <v>40</v>
      </c>
      <c r="AA763">
        <f t="shared" si="47"/>
        <v>31.83</v>
      </c>
      <c r="AB763">
        <v>100</v>
      </c>
      <c r="AC763">
        <f t="shared" si="48"/>
        <v>0.78539816339744828</v>
      </c>
      <c r="AI763" t="e">
        <f>IF(Y763="Yes",NA(),#REF!)</f>
        <v>#N/A</v>
      </c>
      <c r="AJ763" t="e">
        <f>IF(Y763="Yes",NA(),#REF!)</f>
        <v>#N/A</v>
      </c>
      <c r="AK763" t="e">
        <f>IF(Y763="Yes",NA(),#REF!)</f>
        <v>#N/A</v>
      </c>
    </row>
    <row r="764" spans="1:37" x14ac:dyDescent="0.35">
      <c r="A764" s="12">
        <v>764</v>
      </c>
      <c r="C764">
        <v>72</v>
      </c>
      <c r="E764" s="2">
        <v>2</v>
      </c>
      <c r="F764" s="2">
        <v>0.5</v>
      </c>
      <c r="G764" t="s">
        <v>47</v>
      </c>
      <c r="H764" t="s">
        <v>1169</v>
      </c>
      <c r="J764" s="14">
        <f t="shared" si="49"/>
        <v>167.10000000000002</v>
      </c>
      <c r="K764">
        <v>1300</v>
      </c>
      <c r="N764" t="s">
        <v>54</v>
      </c>
      <c r="Q764" t="s">
        <v>38</v>
      </c>
      <c r="R764">
        <v>0</v>
      </c>
      <c r="V764" t="s">
        <v>30</v>
      </c>
      <c r="W764" t="s">
        <v>1280</v>
      </c>
      <c r="X764" t="s">
        <v>40</v>
      </c>
      <c r="Y764" t="s">
        <v>40</v>
      </c>
      <c r="Z764" t="s">
        <v>1281</v>
      </c>
      <c r="AA764">
        <f t="shared" si="47"/>
        <v>16.71</v>
      </c>
      <c r="AB764">
        <v>52.5</v>
      </c>
      <c r="AC764">
        <f t="shared" si="48"/>
        <v>0.21647536878642168</v>
      </c>
      <c r="AI764" t="e">
        <f>IF(Y764="Yes",NA(),#REF!)</f>
        <v>#N/A</v>
      </c>
      <c r="AJ764" t="e">
        <f>IF(Y764="Yes",NA(),#REF!)</f>
        <v>#N/A</v>
      </c>
      <c r="AK764" t="e">
        <f>IF(Y764="Yes",NA(),#REF!)</f>
        <v>#N/A</v>
      </c>
    </row>
    <row r="765" spans="1:37" x14ac:dyDescent="0.35">
      <c r="A765" s="12">
        <v>765</v>
      </c>
      <c r="C765">
        <v>72</v>
      </c>
      <c r="E765" s="2">
        <v>4</v>
      </c>
      <c r="F765" s="2">
        <v>2</v>
      </c>
      <c r="G765" t="s">
        <v>178</v>
      </c>
      <c r="H765" t="s">
        <v>294</v>
      </c>
      <c r="J765" s="14">
        <f t="shared" si="49"/>
        <v>123.5</v>
      </c>
      <c r="K765">
        <v>1300</v>
      </c>
      <c r="N765" t="s">
        <v>54</v>
      </c>
      <c r="Q765" t="s">
        <v>38</v>
      </c>
      <c r="W765" t="s">
        <v>1282</v>
      </c>
      <c r="X765" t="s">
        <v>40</v>
      </c>
      <c r="Y765" t="s">
        <v>40</v>
      </c>
      <c r="Z765" t="s">
        <v>1283</v>
      </c>
      <c r="AA765">
        <f t="shared" si="47"/>
        <v>12.35</v>
      </c>
      <c r="AB765">
        <v>38.799999999999997</v>
      </c>
      <c r="AC765">
        <f t="shared" si="48"/>
        <v>0.11823698111050544</v>
      </c>
      <c r="AI765" t="e">
        <f>IF(Y765="Yes",NA(),#REF!)</f>
        <v>#N/A</v>
      </c>
      <c r="AJ765" t="e">
        <f>IF(Y765="Yes",NA(),#REF!)</f>
        <v>#N/A</v>
      </c>
      <c r="AK765" t="e">
        <f>IF(Y765="Yes",NA(),#REF!)</f>
        <v>#N/A</v>
      </c>
    </row>
    <row r="766" spans="1:37" x14ac:dyDescent="0.35">
      <c r="A766" s="12">
        <v>766</v>
      </c>
      <c r="C766">
        <v>72</v>
      </c>
      <c r="E766" s="2">
        <v>5</v>
      </c>
      <c r="F766" s="2">
        <v>2</v>
      </c>
      <c r="G766" t="s">
        <v>202</v>
      </c>
      <c r="H766" t="s">
        <v>1146</v>
      </c>
      <c r="J766" s="14">
        <f t="shared" si="49"/>
        <v>289.7</v>
      </c>
      <c r="K766">
        <v>1300</v>
      </c>
      <c r="N766" t="s">
        <v>1284</v>
      </c>
      <c r="Q766" t="s">
        <v>934</v>
      </c>
      <c r="R766">
        <v>0</v>
      </c>
      <c r="W766" t="s">
        <v>1285</v>
      </c>
      <c r="X766" t="s">
        <v>40</v>
      </c>
      <c r="Y766" t="s">
        <v>40</v>
      </c>
      <c r="AA766">
        <f t="shared" si="47"/>
        <v>28.97</v>
      </c>
      <c r="AB766">
        <v>91</v>
      </c>
      <c r="AC766">
        <f t="shared" si="48"/>
        <v>0.6503882191094269</v>
      </c>
      <c r="AI766" t="e">
        <f>IF(Y766="Yes",NA(),#REF!)</f>
        <v>#N/A</v>
      </c>
      <c r="AJ766" t="e">
        <f>IF(Y766="Yes",NA(),#REF!)</f>
        <v>#N/A</v>
      </c>
      <c r="AK766" t="e">
        <f>IF(Y766="Yes",NA(),#REF!)</f>
        <v>#N/A</v>
      </c>
    </row>
    <row r="767" spans="1:37" x14ac:dyDescent="0.35">
      <c r="A767" s="12">
        <v>767</v>
      </c>
      <c r="C767">
        <v>72</v>
      </c>
      <c r="E767" s="2">
        <v>9</v>
      </c>
      <c r="F767" s="2">
        <v>1.5</v>
      </c>
      <c r="G767" t="s">
        <v>42</v>
      </c>
      <c r="H767" t="s">
        <v>1286</v>
      </c>
      <c r="I767" t="s">
        <v>1287</v>
      </c>
      <c r="J767" s="14">
        <f t="shared" si="49"/>
        <v>159.5</v>
      </c>
      <c r="K767">
        <v>1300</v>
      </c>
      <c r="N767" t="s">
        <v>61</v>
      </c>
      <c r="Q767" t="s">
        <v>934</v>
      </c>
      <c r="W767" t="s">
        <v>1288</v>
      </c>
      <c r="X767" t="s">
        <v>40</v>
      </c>
      <c r="Y767" t="s">
        <v>40</v>
      </c>
      <c r="AA767">
        <f t="shared" si="47"/>
        <v>15.95</v>
      </c>
      <c r="AB767">
        <v>50.1</v>
      </c>
      <c r="AC767">
        <f t="shared" si="48"/>
        <v>0.19713572441092292</v>
      </c>
      <c r="AI767" t="e">
        <f>IF(Y767="Yes",NA(),#REF!)</f>
        <v>#N/A</v>
      </c>
      <c r="AJ767" t="e">
        <f>IF(Y767="Yes",NA(),#REF!)</f>
        <v>#N/A</v>
      </c>
      <c r="AK767" t="e">
        <f>IF(Y767="Yes",NA(),#REF!)</f>
        <v>#N/A</v>
      </c>
    </row>
    <row r="768" spans="1:37" x14ac:dyDescent="0.35">
      <c r="A768" s="12">
        <v>768</v>
      </c>
      <c r="C768">
        <v>72</v>
      </c>
      <c r="E768" s="2">
        <v>9.8000000000000007</v>
      </c>
      <c r="F768" s="2">
        <v>1.8</v>
      </c>
      <c r="G768" t="s">
        <v>47</v>
      </c>
      <c r="H768" t="s">
        <v>35</v>
      </c>
      <c r="J768" s="14">
        <f t="shared" si="49"/>
        <v>297.3</v>
      </c>
      <c r="K768">
        <v>1300</v>
      </c>
      <c r="N768" t="s">
        <v>37</v>
      </c>
      <c r="Q768">
        <v>4</v>
      </c>
      <c r="W768" t="s">
        <v>1289</v>
      </c>
      <c r="X768" t="s">
        <v>40</v>
      </c>
      <c r="Y768" t="s">
        <v>40</v>
      </c>
      <c r="AA768">
        <f t="shared" si="47"/>
        <v>29.73</v>
      </c>
      <c r="AB768">
        <v>93.4</v>
      </c>
      <c r="AC768">
        <f t="shared" si="48"/>
        <v>0.68514680022874452</v>
      </c>
      <c r="AI768" t="e">
        <f>IF(Y768="Yes",NA(),#REF!)</f>
        <v>#N/A</v>
      </c>
      <c r="AJ768" t="e">
        <f>IF(Y768="Yes",NA(),#REF!)</f>
        <v>#N/A</v>
      </c>
      <c r="AK768" t="e">
        <f>IF(Y768="Yes",NA(),#REF!)</f>
        <v>#N/A</v>
      </c>
    </row>
    <row r="769" spans="1:37" x14ac:dyDescent="0.35">
      <c r="A769" s="12">
        <v>769</v>
      </c>
      <c r="C769">
        <v>72</v>
      </c>
      <c r="E769" s="2">
        <v>9.8000000000000007</v>
      </c>
      <c r="F769" s="2">
        <v>3.5</v>
      </c>
      <c r="G769" t="s">
        <v>66</v>
      </c>
      <c r="H769" t="s">
        <v>67</v>
      </c>
      <c r="J769" s="14">
        <f t="shared" si="49"/>
        <v>306.2</v>
      </c>
      <c r="K769">
        <v>1300</v>
      </c>
      <c r="N769" t="s">
        <v>61</v>
      </c>
      <c r="Q769">
        <v>4</v>
      </c>
      <c r="W769" t="s">
        <v>1290</v>
      </c>
      <c r="X769" t="s">
        <v>40</v>
      </c>
      <c r="Y769" t="s">
        <v>40</v>
      </c>
      <c r="AA769">
        <f t="shared" si="47"/>
        <v>30.62</v>
      </c>
      <c r="AB769" s="26">
        <v>96.2</v>
      </c>
      <c r="AC769">
        <f t="shared" si="48"/>
        <v>0.72684201792718828</v>
      </c>
      <c r="AI769" t="e">
        <f>IF(Y769="Yes",NA(),#REF!)</f>
        <v>#N/A</v>
      </c>
      <c r="AJ769" t="e">
        <f>IF(Y769="Yes",NA(),#REF!)</f>
        <v>#N/A</v>
      </c>
      <c r="AK769" t="e">
        <f>IF(Y769="Yes",NA(),#REF!)</f>
        <v>#N/A</v>
      </c>
    </row>
    <row r="770" spans="1:37" x14ac:dyDescent="0.35">
      <c r="A770" s="12">
        <v>770</v>
      </c>
      <c r="C770">
        <v>72</v>
      </c>
      <c r="E770" s="2">
        <v>7.5</v>
      </c>
      <c r="F770" s="2">
        <v>6</v>
      </c>
      <c r="G770" t="s">
        <v>114</v>
      </c>
      <c r="H770" t="s">
        <v>35</v>
      </c>
      <c r="I770" t="s">
        <v>1291</v>
      </c>
      <c r="J770" s="14">
        <f t="shared" si="49"/>
        <v>268.29999999999995</v>
      </c>
      <c r="K770">
        <v>1300</v>
      </c>
      <c r="N770" t="s">
        <v>61</v>
      </c>
      <c r="Q770">
        <v>4</v>
      </c>
      <c r="W770" t="s">
        <v>1292</v>
      </c>
      <c r="X770" t="s">
        <v>40</v>
      </c>
      <c r="Y770" t="s">
        <v>40</v>
      </c>
      <c r="AA770">
        <f t="shared" si="47"/>
        <v>26.83</v>
      </c>
      <c r="AB770">
        <v>84.3</v>
      </c>
      <c r="AC770">
        <f t="shared" si="48"/>
        <v>0.55814241942023313</v>
      </c>
      <c r="AI770" t="e">
        <f>IF(Y770="Yes",NA(),#REF!)</f>
        <v>#N/A</v>
      </c>
      <c r="AJ770" t="e">
        <f>IF(Y770="Yes",NA(),#REF!)</f>
        <v>#N/A</v>
      </c>
      <c r="AK770" t="e">
        <f>IF(Y770="Yes",NA(),#REF!)</f>
        <v>#N/A</v>
      </c>
    </row>
    <row r="771" spans="1:37" x14ac:dyDescent="0.35">
      <c r="A771" s="12">
        <v>771</v>
      </c>
      <c r="C771">
        <v>72</v>
      </c>
      <c r="E771" s="2">
        <v>6.5</v>
      </c>
      <c r="F771" s="2">
        <v>6</v>
      </c>
      <c r="G771" t="s">
        <v>42</v>
      </c>
      <c r="H771" t="s">
        <v>1278</v>
      </c>
      <c r="J771" s="14">
        <f t="shared" si="49"/>
        <v>157.20000000000002</v>
      </c>
      <c r="K771">
        <v>1300</v>
      </c>
      <c r="N771" t="s">
        <v>54</v>
      </c>
      <c r="Q771" t="s">
        <v>38</v>
      </c>
      <c r="W771" t="s">
        <v>1293</v>
      </c>
      <c r="X771" t="s">
        <v>40</v>
      </c>
      <c r="Y771" t="s">
        <v>40</v>
      </c>
      <c r="AA771">
        <f t="shared" ref="AA771:AA834" si="50">ROUND(AB771/PI(), 2)</f>
        <v>15.72</v>
      </c>
      <c r="AB771">
        <v>49.4</v>
      </c>
      <c r="AC771">
        <f t="shared" si="48"/>
        <v>0.19166542620285967</v>
      </c>
      <c r="AI771" t="e">
        <f>IF(Y771="Yes",NA(),#REF!)</f>
        <v>#N/A</v>
      </c>
      <c r="AJ771" t="e">
        <f>IF(Y771="Yes",NA(),#REF!)</f>
        <v>#N/A</v>
      </c>
      <c r="AK771" t="e">
        <f>IF(Y771="Yes",NA(),#REF!)</f>
        <v>#N/A</v>
      </c>
    </row>
    <row r="772" spans="1:37" x14ac:dyDescent="0.35">
      <c r="A772" s="12">
        <v>772</v>
      </c>
      <c r="C772">
        <v>72</v>
      </c>
      <c r="E772" s="2">
        <v>7</v>
      </c>
      <c r="F772" s="2">
        <v>7.5</v>
      </c>
      <c r="G772" t="s">
        <v>47</v>
      </c>
      <c r="H772" t="s">
        <v>35</v>
      </c>
      <c r="J772" s="14">
        <f t="shared" si="49"/>
        <v>186.5</v>
      </c>
      <c r="K772">
        <v>1300</v>
      </c>
      <c r="N772" t="s">
        <v>61</v>
      </c>
      <c r="Q772" t="s">
        <v>38</v>
      </c>
      <c r="R772">
        <v>0</v>
      </c>
      <c r="W772" t="s">
        <v>1294</v>
      </c>
      <c r="X772" t="s">
        <v>40</v>
      </c>
      <c r="Y772" t="s">
        <v>40</v>
      </c>
      <c r="Z772" t="s">
        <v>1295</v>
      </c>
      <c r="AA772">
        <f t="shared" si="50"/>
        <v>18.649999999999999</v>
      </c>
      <c r="AB772">
        <v>58.6</v>
      </c>
      <c r="AC772">
        <f t="shared" si="48"/>
        <v>0.26970258771803018</v>
      </c>
      <c r="AI772" t="e">
        <f>IF(Y772="Yes",NA(),#REF!)</f>
        <v>#N/A</v>
      </c>
      <c r="AJ772" t="e">
        <f>IF(Y772="Yes",NA(),#REF!)</f>
        <v>#N/A</v>
      </c>
      <c r="AK772" t="e">
        <f>IF(Y772="Yes",NA(),#REF!)</f>
        <v>#N/A</v>
      </c>
    </row>
    <row r="773" spans="1:37" x14ac:dyDescent="0.35">
      <c r="A773" s="12">
        <v>773</v>
      </c>
      <c r="C773">
        <v>72</v>
      </c>
      <c r="E773" s="2">
        <v>7</v>
      </c>
      <c r="F773" s="2">
        <v>8.4</v>
      </c>
      <c r="G773" t="s">
        <v>1296</v>
      </c>
      <c r="H773" t="s">
        <v>1297</v>
      </c>
      <c r="J773" s="14">
        <f t="shared" si="49"/>
        <v>256.60000000000002</v>
      </c>
      <c r="K773">
        <v>1300</v>
      </c>
      <c r="N773" t="s">
        <v>1029</v>
      </c>
      <c r="Q773">
        <v>5</v>
      </c>
      <c r="W773" t="s">
        <v>1298</v>
      </c>
      <c r="X773" t="s">
        <v>40</v>
      </c>
      <c r="Y773" t="s">
        <v>40</v>
      </c>
      <c r="AA773">
        <f t="shared" si="50"/>
        <v>25.66</v>
      </c>
      <c r="AB773">
        <v>80.599999999999994</v>
      </c>
      <c r="AC773">
        <f t="shared" si="48"/>
        <v>0.51022292127686464</v>
      </c>
      <c r="AI773" t="e">
        <f>IF(Y773="Yes",NA(),#REF!)</f>
        <v>#N/A</v>
      </c>
      <c r="AJ773" t="e">
        <f>IF(Y773="Yes",NA(),#REF!)</f>
        <v>#N/A</v>
      </c>
      <c r="AK773" t="e">
        <f>IF(Y773="Yes",NA(),#REF!)</f>
        <v>#N/A</v>
      </c>
    </row>
    <row r="774" spans="1:37" x14ac:dyDescent="0.35">
      <c r="A774" s="12">
        <v>774</v>
      </c>
      <c r="C774">
        <v>72</v>
      </c>
      <c r="E774" s="2">
        <v>2</v>
      </c>
      <c r="F774" s="2">
        <v>6.5</v>
      </c>
      <c r="G774" t="s">
        <v>1042</v>
      </c>
      <c r="H774" t="s">
        <v>1043</v>
      </c>
      <c r="J774" s="14">
        <f t="shared" si="49"/>
        <v>308.8</v>
      </c>
      <c r="K774">
        <v>1300</v>
      </c>
      <c r="N774" t="s">
        <v>61</v>
      </c>
      <c r="Q774">
        <v>4</v>
      </c>
      <c r="U774">
        <v>3</v>
      </c>
      <c r="W774" t="s">
        <v>1299</v>
      </c>
      <c r="X774" t="s">
        <v>40</v>
      </c>
      <c r="Y774" t="s">
        <v>40</v>
      </c>
      <c r="AA774">
        <f t="shared" si="50"/>
        <v>30.88</v>
      </c>
      <c r="AB774">
        <v>97</v>
      </c>
      <c r="AC774">
        <f t="shared" si="48"/>
        <v>0.73898113194065906</v>
      </c>
      <c r="AI774" t="e">
        <f>IF(Y774="Yes",NA(),#REF!)</f>
        <v>#N/A</v>
      </c>
      <c r="AJ774" t="e">
        <f>IF(Y774="Yes",NA(),#REF!)</f>
        <v>#N/A</v>
      </c>
      <c r="AK774" t="e">
        <f>IF(Y774="Yes",NA(),#REF!)</f>
        <v>#N/A</v>
      </c>
    </row>
    <row r="775" spans="1:37" x14ac:dyDescent="0.35">
      <c r="A775" s="12">
        <v>775</v>
      </c>
      <c r="C775">
        <v>72</v>
      </c>
      <c r="E775" s="2">
        <v>4</v>
      </c>
      <c r="F775" s="2">
        <v>6.5</v>
      </c>
      <c r="G775" t="s">
        <v>59</v>
      </c>
      <c r="H775" t="s">
        <v>423</v>
      </c>
      <c r="J775" s="14">
        <f t="shared" si="49"/>
        <v>266.70000000000005</v>
      </c>
      <c r="K775">
        <v>1300</v>
      </c>
      <c r="N775" t="s">
        <v>54</v>
      </c>
      <c r="Q775">
        <v>5</v>
      </c>
      <c r="W775" t="s">
        <v>1300</v>
      </c>
      <c r="X775" t="s">
        <v>40</v>
      </c>
      <c r="Y775" t="s">
        <v>240</v>
      </c>
      <c r="AA775">
        <f t="shared" si="50"/>
        <v>26.67</v>
      </c>
      <c r="AB775" s="26">
        <v>83.8</v>
      </c>
      <c r="AC775">
        <f t="shared" si="48"/>
        <v>0.55154114785687758</v>
      </c>
      <c r="AI775" t="e">
        <f>IF(Y775="Yes",NA(),#REF!)</f>
        <v>#REF!</v>
      </c>
      <c r="AJ775" t="e">
        <f>IF(Y775="Yes",NA(),#REF!)</f>
        <v>#REF!</v>
      </c>
      <c r="AK775" t="e">
        <f>IF(Y775="Yes",NA(),#REF!)</f>
        <v>#REF!</v>
      </c>
    </row>
    <row r="776" spans="1:37" x14ac:dyDescent="0.35">
      <c r="A776" s="12">
        <v>776</v>
      </c>
      <c r="C776">
        <v>72</v>
      </c>
      <c r="E776" s="2">
        <v>4</v>
      </c>
      <c r="F776" s="2">
        <v>6</v>
      </c>
      <c r="G776" t="s">
        <v>114</v>
      </c>
      <c r="H776" t="s">
        <v>35</v>
      </c>
      <c r="J776" s="14">
        <f t="shared" si="49"/>
        <v>162.30000000000001</v>
      </c>
      <c r="K776">
        <v>1300</v>
      </c>
      <c r="N776" t="s">
        <v>61</v>
      </c>
      <c r="Q776">
        <v>5</v>
      </c>
      <c r="W776" t="s">
        <v>1301</v>
      </c>
      <c r="X776" t="s">
        <v>40</v>
      </c>
      <c r="Y776" t="s">
        <v>40</v>
      </c>
      <c r="Z776" t="s">
        <v>1302</v>
      </c>
      <c r="AA776">
        <f t="shared" si="50"/>
        <v>16.23</v>
      </c>
      <c r="AB776">
        <v>51</v>
      </c>
      <c r="AC776">
        <f t="shared" si="48"/>
        <v>0.2042820622996763</v>
      </c>
      <c r="AI776" t="e">
        <f>IF(Y776="Yes",NA(),#REF!)</f>
        <v>#N/A</v>
      </c>
      <c r="AJ776" t="e">
        <f>IF(Y776="Yes",NA(),#REF!)</f>
        <v>#N/A</v>
      </c>
      <c r="AK776" t="e">
        <f>IF(Y776="Yes",NA(),#REF!)</f>
        <v>#N/A</v>
      </c>
    </row>
    <row r="777" spans="1:37" x14ac:dyDescent="0.35">
      <c r="A777" s="12">
        <v>777</v>
      </c>
      <c r="C777">
        <v>72</v>
      </c>
      <c r="E777" s="23">
        <v>3</v>
      </c>
      <c r="F777" s="23">
        <v>7</v>
      </c>
      <c r="G777" t="s">
        <v>59</v>
      </c>
      <c r="H777" t="s">
        <v>710</v>
      </c>
      <c r="I777" t="s">
        <v>1303</v>
      </c>
      <c r="J777" s="14">
        <f t="shared" si="49"/>
        <v>101.5</v>
      </c>
      <c r="K777">
        <v>1300</v>
      </c>
      <c r="N777" t="s">
        <v>54</v>
      </c>
      <c r="Q777" t="s">
        <v>38</v>
      </c>
      <c r="W777" t="s">
        <v>1304</v>
      </c>
      <c r="X777" t="s">
        <v>40</v>
      </c>
      <c r="Y777" t="s">
        <v>40</v>
      </c>
      <c r="AA777">
        <f t="shared" si="50"/>
        <v>10.15</v>
      </c>
      <c r="AB777" s="26">
        <v>31.9</v>
      </c>
      <c r="AC777">
        <f t="shared" si="48"/>
        <v>7.9922902505487725E-2</v>
      </c>
      <c r="AI777" t="e">
        <f>IF(Y777="Yes",NA(),#REF!)</f>
        <v>#N/A</v>
      </c>
      <c r="AJ777" t="e">
        <f>IF(Y777="Yes",NA(),#REF!)</f>
        <v>#N/A</v>
      </c>
      <c r="AK777" t="e">
        <f>IF(Y777="Yes",NA(),#REF!)</f>
        <v>#N/A</v>
      </c>
    </row>
    <row r="778" spans="1:37" x14ac:dyDescent="0.35">
      <c r="A778" s="12">
        <v>778</v>
      </c>
      <c r="C778">
        <v>72</v>
      </c>
      <c r="E778" s="2">
        <v>5</v>
      </c>
      <c r="F778" s="2">
        <v>7</v>
      </c>
      <c r="G778" t="s">
        <v>63</v>
      </c>
      <c r="H778" t="s">
        <v>64</v>
      </c>
      <c r="J778" s="14">
        <f t="shared" si="49"/>
        <v>115.9</v>
      </c>
      <c r="K778">
        <v>1300</v>
      </c>
      <c r="N778" t="s">
        <v>54</v>
      </c>
      <c r="Q778" t="s">
        <v>934</v>
      </c>
      <c r="W778" t="s">
        <v>1305</v>
      </c>
      <c r="AA778">
        <f t="shared" si="50"/>
        <v>11.59</v>
      </c>
      <c r="AB778">
        <v>36.4</v>
      </c>
      <c r="AC778">
        <f t="shared" si="48"/>
        <v>0.1040621150575083</v>
      </c>
      <c r="AI778" t="e">
        <f>IF(Y778="Yes",NA(),#REF!)</f>
        <v>#REF!</v>
      </c>
      <c r="AJ778" t="e">
        <f>IF(Y778="Yes",NA(),#REF!)</f>
        <v>#REF!</v>
      </c>
      <c r="AK778" t="e">
        <f>IF(Y778="Yes",NA(),#REF!)</f>
        <v>#REF!</v>
      </c>
    </row>
    <row r="779" spans="1:37" x14ac:dyDescent="0.35">
      <c r="A779" s="12">
        <v>779</v>
      </c>
      <c r="C779">
        <v>89</v>
      </c>
      <c r="E779" s="2">
        <v>4.5</v>
      </c>
      <c r="F779" s="2">
        <v>8.5</v>
      </c>
      <c r="G779" t="s">
        <v>59</v>
      </c>
      <c r="H779" t="s">
        <v>234</v>
      </c>
      <c r="J779" s="14">
        <f t="shared" si="49"/>
        <v>113.6</v>
      </c>
      <c r="K779">
        <v>1300</v>
      </c>
      <c r="N779" t="s">
        <v>81</v>
      </c>
      <c r="Q779" t="s">
        <v>38</v>
      </c>
      <c r="W779" t="s">
        <v>1306</v>
      </c>
      <c r="X779" t="s">
        <v>40</v>
      </c>
      <c r="Y779" t="s">
        <v>40</v>
      </c>
      <c r="AA779">
        <f t="shared" si="50"/>
        <v>11.36</v>
      </c>
      <c r="AB779">
        <v>35.700000000000003</v>
      </c>
      <c r="AC779">
        <f t="shared" si="48"/>
        <v>0.1000982105268414</v>
      </c>
      <c r="AI779" t="e">
        <f>IF(Y779="Yes",NA(),#REF!)</f>
        <v>#N/A</v>
      </c>
      <c r="AJ779" t="e">
        <f>IF(Y779="Yes",NA(),#REF!)</f>
        <v>#N/A</v>
      </c>
      <c r="AK779" t="e">
        <f>IF(Y779="Yes",NA(),#REF!)</f>
        <v>#N/A</v>
      </c>
    </row>
    <row r="780" spans="1:37" ht="17.25" customHeight="1" x14ac:dyDescent="0.35">
      <c r="A780" s="12">
        <v>780</v>
      </c>
      <c r="C780">
        <v>89</v>
      </c>
      <c r="E780" s="2">
        <v>3.8</v>
      </c>
      <c r="F780" s="2">
        <v>7</v>
      </c>
      <c r="G780" t="s">
        <v>47</v>
      </c>
      <c r="H780" t="s">
        <v>636</v>
      </c>
      <c r="J780" s="14">
        <f t="shared" si="49"/>
        <v>154.4</v>
      </c>
      <c r="K780">
        <v>1300</v>
      </c>
      <c r="N780" t="s">
        <v>54</v>
      </c>
      <c r="Q780" t="s">
        <v>38</v>
      </c>
      <c r="W780" t="s">
        <v>1307</v>
      </c>
      <c r="X780" t="s">
        <v>40</v>
      </c>
      <c r="Y780" t="s">
        <v>40</v>
      </c>
      <c r="Z780" t="s">
        <v>1308</v>
      </c>
      <c r="AA780">
        <f t="shared" si="50"/>
        <v>15.44</v>
      </c>
      <c r="AB780">
        <v>48.5</v>
      </c>
      <c r="AC780">
        <f t="shared" si="48"/>
        <v>0.18474528298516477</v>
      </c>
      <c r="AI780" t="e">
        <f>IF(Y780="Yes",NA(),#REF!)</f>
        <v>#N/A</v>
      </c>
      <c r="AJ780" t="e">
        <f>IF(Y780="Yes",NA(),#REF!)</f>
        <v>#N/A</v>
      </c>
      <c r="AK780" t="e">
        <f>IF(Y780="Yes",NA(),#REF!)</f>
        <v>#N/A</v>
      </c>
    </row>
    <row r="781" spans="1:37" x14ac:dyDescent="0.35">
      <c r="A781" s="12">
        <v>781</v>
      </c>
      <c r="C781">
        <v>89</v>
      </c>
      <c r="E781" s="23">
        <v>1.5</v>
      </c>
      <c r="F781" s="23">
        <v>5</v>
      </c>
      <c r="G781" t="s">
        <v>63</v>
      </c>
      <c r="H781" t="s">
        <v>1309</v>
      </c>
      <c r="J781" s="14">
        <f t="shared" si="49"/>
        <v>184.60000000000002</v>
      </c>
      <c r="K781">
        <v>1300</v>
      </c>
      <c r="N781" t="s">
        <v>54</v>
      </c>
      <c r="Q781">
        <v>4</v>
      </c>
      <c r="W781" t="s">
        <v>1310</v>
      </c>
      <c r="AA781">
        <f t="shared" si="50"/>
        <v>18.46</v>
      </c>
      <c r="AB781" s="26">
        <v>58</v>
      </c>
      <c r="AC781">
        <f t="shared" si="48"/>
        <v>0.26420794216690158</v>
      </c>
      <c r="AI781" t="e">
        <f>IF(Y781="Yes",NA(),#REF!)</f>
        <v>#REF!</v>
      </c>
      <c r="AJ781" t="e">
        <f>IF(Y781="Yes",NA(),#REF!)</f>
        <v>#REF!</v>
      </c>
      <c r="AK781" t="e">
        <f>IF(Y781="Yes",NA(),#REF!)</f>
        <v>#REF!</v>
      </c>
    </row>
    <row r="782" spans="1:37" x14ac:dyDescent="0.35">
      <c r="A782" s="12">
        <v>782</v>
      </c>
      <c r="C782">
        <v>89</v>
      </c>
      <c r="E782" s="2">
        <v>0.8</v>
      </c>
      <c r="F782" s="2">
        <v>4.5</v>
      </c>
      <c r="G782" t="s">
        <v>178</v>
      </c>
      <c r="H782" t="s">
        <v>294</v>
      </c>
      <c r="J782" s="14">
        <f t="shared" si="49"/>
        <v>143.19999999999999</v>
      </c>
      <c r="K782">
        <v>1300</v>
      </c>
      <c r="N782" t="s">
        <v>54</v>
      </c>
      <c r="Q782" t="s">
        <v>934</v>
      </c>
      <c r="W782" t="s">
        <v>1311</v>
      </c>
      <c r="X782" t="s">
        <v>40</v>
      </c>
      <c r="Y782" t="s">
        <v>40</v>
      </c>
      <c r="AA782">
        <f t="shared" si="50"/>
        <v>14.32</v>
      </c>
      <c r="AB782">
        <v>45</v>
      </c>
      <c r="AC782">
        <f t="shared" si="48"/>
        <v>0.15904312808798329</v>
      </c>
      <c r="AI782" t="e">
        <f>IF(Y782="Yes",NA(),#REF!)</f>
        <v>#N/A</v>
      </c>
      <c r="AJ782" t="e">
        <f>IF(Y782="Yes",NA(),#REF!)</f>
        <v>#N/A</v>
      </c>
      <c r="AK782" t="e">
        <f>IF(Y782="Yes",NA(),#REF!)</f>
        <v>#N/A</v>
      </c>
    </row>
    <row r="783" spans="1:37" x14ac:dyDescent="0.35">
      <c r="A783" s="12">
        <v>783</v>
      </c>
      <c r="C783">
        <v>89</v>
      </c>
      <c r="E783" s="2">
        <v>4</v>
      </c>
      <c r="F783" s="2">
        <v>3.5</v>
      </c>
      <c r="G783" t="s">
        <v>66</v>
      </c>
      <c r="H783" t="s">
        <v>67</v>
      </c>
      <c r="J783" s="14">
        <f t="shared" si="49"/>
        <v>143.19999999999999</v>
      </c>
      <c r="K783">
        <v>1300</v>
      </c>
      <c r="N783" t="s">
        <v>252</v>
      </c>
      <c r="Q783" t="s">
        <v>55</v>
      </c>
      <c r="W783" t="s">
        <v>1312</v>
      </c>
      <c r="X783" t="s">
        <v>40</v>
      </c>
      <c r="Y783" t="s">
        <v>40</v>
      </c>
      <c r="AA783">
        <f t="shared" si="50"/>
        <v>14.32</v>
      </c>
      <c r="AB783" s="26">
        <v>45</v>
      </c>
      <c r="AC783">
        <f t="shared" si="48"/>
        <v>0.15904312808798329</v>
      </c>
      <c r="AI783" t="e">
        <f>IF(Y783="Yes",NA(),#REF!)</f>
        <v>#N/A</v>
      </c>
      <c r="AJ783" t="e">
        <f>IF(Y783="Yes",NA(),#REF!)</f>
        <v>#N/A</v>
      </c>
      <c r="AK783" t="e">
        <f>IF(Y783="Yes",NA(),#REF!)</f>
        <v>#N/A</v>
      </c>
    </row>
    <row r="784" spans="1:37" x14ac:dyDescent="0.35">
      <c r="A784" s="12">
        <v>784</v>
      </c>
      <c r="C784">
        <v>89</v>
      </c>
      <c r="E784" s="23">
        <v>4</v>
      </c>
      <c r="F784" s="23">
        <v>1.5</v>
      </c>
      <c r="G784" t="s">
        <v>59</v>
      </c>
      <c r="H784" t="s">
        <v>710</v>
      </c>
      <c r="J784" s="14">
        <f t="shared" si="49"/>
        <v>103.5</v>
      </c>
      <c r="K784">
        <v>1300</v>
      </c>
      <c r="N784" t="s">
        <v>54</v>
      </c>
      <c r="Q784" t="s">
        <v>934</v>
      </c>
      <c r="W784" t="s">
        <v>1313</v>
      </c>
      <c r="X784" t="s">
        <v>40</v>
      </c>
      <c r="Y784" t="s">
        <v>40</v>
      </c>
      <c r="AA784">
        <f t="shared" si="50"/>
        <v>10.35</v>
      </c>
      <c r="AB784" s="26">
        <v>32.5</v>
      </c>
      <c r="AC784">
        <f t="shared" si="48"/>
        <v>8.2957681008855463E-2</v>
      </c>
      <c r="AI784" t="e">
        <f>IF(Y784="Yes",NA(),#REF!)</f>
        <v>#N/A</v>
      </c>
      <c r="AJ784" t="e">
        <f>IF(Y784="Yes",NA(),#REF!)</f>
        <v>#N/A</v>
      </c>
      <c r="AK784" t="e">
        <f>IF(Y784="Yes",NA(),#REF!)</f>
        <v>#N/A</v>
      </c>
    </row>
    <row r="785" spans="1:37" x14ac:dyDescent="0.35">
      <c r="A785" s="12">
        <v>785</v>
      </c>
      <c r="C785">
        <v>89</v>
      </c>
      <c r="E785" s="2">
        <v>2</v>
      </c>
      <c r="F785" s="2">
        <v>0.1</v>
      </c>
      <c r="G785" t="s">
        <v>213</v>
      </c>
      <c r="H785" t="s">
        <v>214</v>
      </c>
      <c r="J785" s="14">
        <f t="shared" si="49"/>
        <v>127.30000000000001</v>
      </c>
      <c r="K785">
        <v>1300</v>
      </c>
      <c r="N785" t="s">
        <v>61</v>
      </c>
      <c r="Q785" t="s">
        <v>934</v>
      </c>
      <c r="W785" t="s">
        <v>1314</v>
      </c>
      <c r="X785" t="s">
        <v>40</v>
      </c>
      <c r="Y785" t="s">
        <v>40</v>
      </c>
      <c r="AA785">
        <f t="shared" si="50"/>
        <v>12.73</v>
      </c>
      <c r="AB785">
        <v>40</v>
      </c>
      <c r="AC785">
        <f t="shared" si="48"/>
        <v>0.12566370614359174</v>
      </c>
      <c r="AI785" t="e">
        <f>IF(Y785="Yes",NA(),#REF!)</f>
        <v>#N/A</v>
      </c>
      <c r="AJ785" t="e">
        <f>IF(Y785="Yes",NA(),#REF!)</f>
        <v>#N/A</v>
      </c>
      <c r="AK785" t="e">
        <f>IF(Y785="Yes",NA(),#REF!)</f>
        <v>#N/A</v>
      </c>
    </row>
    <row r="786" spans="1:37" x14ac:dyDescent="0.35">
      <c r="A786" s="12">
        <v>786</v>
      </c>
      <c r="C786">
        <v>89</v>
      </c>
      <c r="E786" s="2">
        <v>6.5</v>
      </c>
      <c r="F786" s="2">
        <v>3</v>
      </c>
      <c r="G786" t="s">
        <v>114</v>
      </c>
      <c r="H786" t="s">
        <v>35</v>
      </c>
      <c r="J786" s="14">
        <f t="shared" si="49"/>
        <v>162.30000000000001</v>
      </c>
      <c r="K786">
        <v>1300</v>
      </c>
      <c r="N786" t="s">
        <v>54</v>
      </c>
      <c r="Q786" t="s">
        <v>934</v>
      </c>
      <c r="W786" t="s">
        <v>1315</v>
      </c>
      <c r="X786" t="s">
        <v>40</v>
      </c>
      <c r="Y786" t="s">
        <v>40</v>
      </c>
      <c r="Z786" t="s">
        <v>1316</v>
      </c>
      <c r="AA786">
        <f t="shared" si="50"/>
        <v>16.23</v>
      </c>
      <c r="AB786">
        <v>51</v>
      </c>
      <c r="AC786">
        <f t="shared" si="48"/>
        <v>0.2042820622996763</v>
      </c>
      <c r="AI786" t="e">
        <f>IF(Y786="Yes",NA(),#REF!)</f>
        <v>#N/A</v>
      </c>
      <c r="AJ786" t="e">
        <f>IF(Y786="Yes",NA(),#REF!)</f>
        <v>#N/A</v>
      </c>
      <c r="AK786" t="e">
        <f>IF(Y786="Yes",NA(),#REF!)</f>
        <v>#N/A</v>
      </c>
    </row>
    <row r="787" spans="1:37" x14ac:dyDescent="0.35">
      <c r="A787" s="12">
        <v>787</v>
      </c>
      <c r="C787">
        <v>89</v>
      </c>
      <c r="E787" s="2">
        <v>7</v>
      </c>
      <c r="F787" s="2">
        <v>5.5</v>
      </c>
      <c r="G787" t="s">
        <v>47</v>
      </c>
      <c r="H787" t="s">
        <v>35</v>
      </c>
      <c r="J787" s="14">
        <f t="shared" si="49"/>
        <v>126.4</v>
      </c>
      <c r="K787">
        <v>1300</v>
      </c>
      <c r="N787" t="s">
        <v>54</v>
      </c>
      <c r="Q787" t="s">
        <v>38</v>
      </c>
      <c r="W787" t="s">
        <v>1317</v>
      </c>
      <c r="X787" t="s">
        <v>40</v>
      </c>
      <c r="Y787" t="s">
        <v>40</v>
      </c>
      <c r="AA787">
        <f t="shared" si="50"/>
        <v>12.64</v>
      </c>
      <c r="AB787">
        <v>39.700000000000003</v>
      </c>
      <c r="AC787">
        <f t="shared" si="48"/>
        <v>0.12378581913490844</v>
      </c>
      <c r="AI787" t="e">
        <f>IF(Y787="Yes",NA(),#REF!)</f>
        <v>#N/A</v>
      </c>
      <c r="AJ787" t="e">
        <f>IF(Y787="Yes",NA(),#REF!)</f>
        <v>#N/A</v>
      </c>
      <c r="AK787" t="e">
        <f>IF(Y787="Yes",NA(),#REF!)</f>
        <v>#N/A</v>
      </c>
    </row>
    <row r="788" spans="1:37" x14ac:dyDescent="0.35">
      <c r="A788" s="12">
        <v>788</v>
      </c>
      <c r="C788">
        <v>89</v>
      </c>
      <c r="E788" s="2">
        <v>6</v>
      </c>
      <c r="F788" s="2">
        <v>8.8000000000000007</v>
      </c>
      <c r="G788" t="s">
        <v>137</v>
      </c>
      <c r="H788" t="s">
        <v>138</v>
      </c>
      <c r="J788" s="14">
        <f t="shared" si="49"/>
        <v>193.9</v>
      </c>
      <c r="K788">
        <v>1300</v>
      </c>
      <c r="N788" t="s">
        <v>54</v>
      </c>
      <c r="Q788" t="s">
        <v>38</v>
      </c>
      <c r="W788" t="s">
        <v>1318</v>
      </c>
      <c r="X788" t="s">
        <v>40</v>
      </c>
      <c r="Y788" t="s">
        <v>40</v>
      </c>
      <c r="AA788">
        <f t="shared" si="50"/>
        <v>19.39</v>
      </c>
      <c r="AB788">
        <v>60.9</v>
      </c>
      <c r="AC788">
        <f t="shared" si="48"/>
        <v>0.29128925623900898</v>
      </c>
      <c r="AI788" t="e">
        <f>IF(Y788="Yes",NA(),#REF!)</f>
        <v>#N/A</v>
      </c>
      <c r="AJ788" t="e">
        <f>IF(Y788="Yes",NA(),#REF!)</f>
        <v>#N/A</v>
      </c>
      <c r="AK788" t="e">
        <f>IF(Y788="Yes",NA(),#REF!)</f>
        <v>#N/A</v>
      </c>
    </row>
    <row r="789" spans="1:37" x14ac:dyDescent="0.35">
      <c r="A789" s="12">
        <v>789</v>
      </c>
      <c r="C789">
        <v>88</v>
      </c>
      <c r="E789" s="2">
        <v>7</v>
      </c>
      <c r="F789" s="2">
        <v>8.5</v>
      </c>
      <c r="G789" t="s">
        <v>213</v>
      </c>
      <c r="H789" t="s">
        <v>214</v>
      </c>
      <c r="J789" s="14">
        <f t="shared" si="49"/>
        <v>98</v>
      </c>
      <c r="K789">
        <v>1300</v>
      </c>
      <c r="N789" t="s">
        <v>54</v>
      </c>
      <c r="Q789" t="s">
        <v>152</v>
      </c>
      <c r="W789" t="s">
        <v>1319</v>
      </c>
      <c r="X789" t="s">
        <v>40</v>
      </c>
      <c r="Y789" t="s">
        <v>40</v>
      </c>
      <c r="AA789">
        <f t="shared" si="50"/>
        <v>9.8000000000000007</v>
      </c>
      <c r="AB789">
        <v>30.8</v>
      </c>
      <c r="AC789">
        <f t="shared" si="48"/>
        <v>7.4506011372535541E-2</v>
      </c>
      <c r="AI789" t="e">
        <f>IF(Y789="Yes",NA(),#REF!)</f>
        <v>#N/A</v>
      </c>
      <c r="AJ789" t="e">
        <f>IF(Y789="Yes",NA(),#REF!)</f>
        <v>#N/A</v>
      </c>
      <c r="AK789" t="e">
        <f>IF(Y789="Yes",NA(),#REF!)</f>
        <v>#N/A</v>
      </c>
    </row>
    <row r="790" spans="1:37" x14ac:dyDescent="0.35">
      <c r="A790" s="12">
        <v>790</v>
      </c>
      <c r="C790">
        <v>88</v>
      </c>
      <c r="E790" s="2">
        <v>7</v>
      </c>
      <c r="F790" s="2">
        <v>9.5</v>
      </c>
      <c r="G790" t="s">
        <v>104</v>
      </c>
      <c r="H790" t="s">
        <v>158</v>
      </c>
      <c r="J790" s="14">
        <f t="shared" si="49"/>
        <v>270.59999999999997</v>
      </c>
      <c r="K790">
        <v>1300</v>
      </c>
      <c r="N790" t="s">
        <v>37</v>
      </c>
      <c r="Q790">
        <v>5</v>
      </c>
      <c r="W790" t="s">
        <v>1320</v>
      </c>
      <c r="X790" t="s">
        <v>40</v>
      </c>
      <c r="Y790" t="s">
        <v>40</v>
      </c>
      <c r="AA790">
        <f t="shared" si="50"/>
        <v>27.06</v>
      </c>
      <c r="AB790">
        <v>85</v>
      </c>
      <c r="AC790">
        <f t="shared" si="48"/>
        <v>0.56745017305465639</v>
      </c>
      <c r="AI790" t="e">
        <f>IF(Y790="Yes",NA(),#REF!)</f>
        <v>#N/A</v>
      </c>
      <c r="AJ790" t="e">
        <f>IF(Y790="Yes",NA(),#REF!)</f>
        <v>#N/A</v>
      </c>
      <c r="AK790" t="e">
        <f>IF(Y790="Yes",NA(),#REF!)</f>
        <v>#N/A</v>
      </c>
    </row>
    <row r="791" spans="1:37" x14ac:dyDescent="0.35">
      <c r="A791" s="12">
        <v>791</v>
      </c>
      <c r="C791">
        <v>88</v>
      </c>
      <c r="E791" s="2">
        <v>5</v>
      </c>
      <c r="F791" s="2">
        <v>7</v>
      </c>
      <c r="G791" t="s">
        <v>63</v>
      </c>
      <c r="H791" t="s">
        <v>64</v>
      </c>
      <c r="J791" s="14">
        <f t="shared" si="49"/>
        <v>102.5</v>
      </c>
      <c r="K791">
        <v>1300</v>
      </c>
      <c r="N791" t="s">
        <v>54</v>
      </c>
      <c r="Q791">
        <v>1</v>
      </c>
      <c r="W791" t="s">
        <v>1321</v>
      </c>
      <c r="AA791">
        <f t="shared" si="50"/>
        <v>10.25</v>
      </c>
      <c r="AB791">
        <v>32.200000000000003</v>
      </c>
      <c r="AC791">
        <f t="shared" ref="AC791:AC822" si="51">PI()*(AB791/2)*(AB791/2)/10000</f>
        <v>8.1433223173701039E-2</v>
      </c>
      <c r="AI791" t="e">
        <f>IF(Y791="Yes",NA(),#REF!)</f>
        <v>#REF!</v>
      </c>
      <c r="AJ791" t="e">
        <f>IF(Y791="Yes",NA(),#REF!)</f>
        <v>#REF!</v>
      </c>
      <c r="AK791" t="e">
        <f>IF(Y791="Yes",NA(),#REF!)</f>
        <v>#REF!</v>
      </c>
    </row>
    <row r="792" spans="1:37" x14ac:dyDescent="0.35">
      <c r="A792" s="12">
        <v>792</v>
      </c>
      <c r="C792">
        <v>88</v>
      </c>
      <c r="E792" s="2">
        <v>5</v>
      </c>
      <c r="F792" s="2">
        <v>6</v>
      </c>
      <c r="G792" t="s">
        <v>63</v>
      </c>
      <c r="H792" t="s">
        <v>64</v>
      </c>
      <c r="J792" s="14">
        <f t="shared" si="49"/>
        <v>128.9</v>
      </c>
      <c r="K792">
        <v>1300</v>
      </c>
      <c r="N792" t="s">
        <v>54</v>
      </c>
      <c r="Q792" t="s">
        <v>934</v>
      </c>
      <c r="W792" t="s">
        <v>1322</v>
      </c>
      <c r="AA792">
        <f t="shared" si="50"/>
        <v>12.89</v>
      </c>
      <c r="AB792">
        <v>40.5</v>
      </c>
      <c r="AC792">
        <f t="shared" si="51"/>
        <v>0.12882493375126644</v>
      </c>
      <c r="AI792" t="e">
        <f>IF(Y792="Yes",NA(),#REF!)</f>
        <v>#REF!</v>
      </c>
      <c r="AJ792" t="e">
        <f>IF(Y792="Yes",NA(),#REF!)</f>
        <v>#REF!</v>
      </c>
      <c r="AK792" t="e">
        <f>IF(Y792="Yes",NA(),#REF!)</f>
        <v>#REF!</v>
      </c>
    </row>
    <row r="793" spans="1:37" x14ac:dyDescent="0.35">
      <c r="A793" s="12">
        <v>793</v>
      </c>
      <c r="C793">
        <v>88</v>
      </c>
      <c r="E793" s="2">
        <v>3</v>
      </c>
      <c r="F793" s="2">
        <v>2</v>
      </c>
      <c r="G793" t="s">
        <v>66</v>
      </c>
      <c r="H793" t="s">
        <v>35</v>
      </c>
      <c r="J793" s="14">
        <f t="shared" si="49"/>
        <v>415.4</v>
      </c>
      <c r="K793">
        <v>1300</v>
      </c>
      <c r="N793" t="s">
        <v>297</v>
      </c>
      <c r="Q793">
        <v>5</v>
      </c>
      <c r="W793" t="s">
        <v>1323</v>
      </c>
      <c r="X793" t="s">
        <v>40</v>
      </c>
      <c r="Y793" t="s">
        <v>40</v>
      </c>
      <c r="Z793" t="s">
        <v>1324</v>
      </c>
      <c r="AA793">
        <f t="shared" si="50"/>
        <v>41.54</v>
      </c>
      <c r="AB793">
        <v>130.5</v>
      </c>
      <c r="AC793">
        <f t="shared" si="51"/>
        <v>1.3375527072199394</v>
      </c>
      <c r="AI793" t="e">
        <f>IF(Y793="Yes",NA(),#REF!)</f>
        <v>#N/A</v>
      </c>
      <c r="AJ793" t="e">
        <f>IF(Y793="Yes",NA(),#REF!)</f>
        <v>#N/A</v>
      </c>
      <c r="AK793" t="e">
        <f>IF(Y793="Yes",NA(),#REF!)</f>
        <v>#N/A</v>
      </c>
    </row>
    <row r="794" spans="1:37" x14ac:dyDescent="0.35">
      <c r="A794" s="12">
        <v>794</v>
      </c>
      <c r="C794">
        <v>88</v>
      </c>
      <c r="E794" s="2">
        <v>6</v>
      </c>
      <c r="F794" s="2">
        <v>6</v>
      </c>
      <c r="G794" t="s">
        <v>63</v>
      </c>
      <c r="H794" t="s">
        <v>64</v>
      </c>
      <c r="J794" s="14">
        <f t="shared" si="49"/>
        <v>101.89999999999999</v>
      </c>
      <c r="K794">
        <v>1300</v>
      </c>
      <c r="N794" t="s">
        <v>54</v>
      </c>
      <c r="Q794">
        <v>1</v>
      </c>
      <c r="W794" t="s">
        <v>1325</v>
      </c>
      <c r="AA794">
        <f t="shared" si="50"/>
        <v>10.19</v>
      </c>
      <c r="AB794">
        <v>32</v>
      </c>
      <c r="AC794">
        <f t="shared" si="51"/>
        <v>8.0424771931898703E-2</v>
      </c>
      <c r="AI794" t="e">
        <f>IF(Y794="Yes",NA(),#REF!)</f>
        <v>#REF!</v>
      </c>
      <c r="AJ794" t="e">
        <f>IF(Y794="Yes",NA(),#REF!)</f>
        <v>#REF!</v>
      </c>
      <c r="AK794" t="e">
        <f>IF(Y794="Yes",NA(),#REF!)</f>
        <v>#REF!</v>
      </c>
    </row>
    <row r="795" spans="1:37" x14ac:dyDescent="0.35">
      <c r="A795" s="12">
        <v>795</v>
      </c>
      <c r="C795">
        <v>87</v>
      </c>
      <c r="E795" s="2">
        <v>7.5</v>
      </c>
      <c r="F795" s="2">
        <v>8</v>
      </c>
      <c r="G795" t="s">
        <v>114</v>
      </c>
      <c r="H795" t="s">
        <v>35</v>
      </c>
      <c r="J795" s="14">
        <f t="shared" si="49"/>
        <v>136.9</v>
      </c>
      <c r="K795">
        <v>1300</v>
      </c>
      <c r="N795" t="s">
        <v>297</v>
      </c>
      <c r="Q795" t="s">
        <v>934</v>
      </c>
      <c r="U795">
        <v>3</v>
      </c>
      <c r="W795" t="s">
        <v>1326</v>
      </c>
      <c r="X795" t="s">
        <v>40</v>
      </c>
      <c r="Y795" t="s">
        <v>40</v>
      </c>
      <c r="AA795">
        <f t="shared" si="50"/>
        <v>13.69</v>
      </c>
      <c r="AB795">
        <v>43</v>
      </c>
      <c r="AC795">
        <f t="shared" si="51"/>
        <v>0.14522012041218818</v>
      </c>
      <c r="AI795" t="e">
        <f>IF(Y795="Yes",NA(),#REF!)</f>
        <v>#N/A</v>
      </c>
      <c r="AJ795" t="e">
        <f>IF(Y795="Yes",NA(),#REF!)</f>
        <v>#N/A</v>
      </c>
      <c r="AK795" t="e">
        <f>IF(Y795="Yes",NA(),#REF!)</f>
        <v>#N/A</v>
      </c>
    </row>
    <row r="796" spans="1:37" x14ac:dyDescent="0.35">
      <c r="A796" s="12">
        <v>796</v>
      </c>
      <c r="C796">
        <v>87</v>
      </c>
      <c r="E796" s="2">
        <v>2.5</v>
      </c>
      <c r="F796" s="2">
        <v>8</v>
      </c>
      <c r="G796" t="s">
        <v>178</v>
      </c>
      <c r="H796" t="s">
        <v>179</v>
      </c>
      <c r="J796" s="14">
        <f t="shared" si="49"/>
        <v>434.5</v>
      </c>
      <c r="K796">
        <v>1300</v>
      </c>
      <c r="N796" t="s">
        <v>1327</v>
      </c>
      <c r="Q796">
        <v>5</v>
      </c>
      <c r="W796" t="s">
        <v>1328</v>
      </c>
      <c r="X796" t="s">
        <v>40</v>
      </c>
      <c r="Y796" t="s">
        <v>40</v>
      </c>
      <c r="Z796" t="s">
        <v>1329</v>
      </c>
      <c r="AA796">
        <f t="shared" si="50"/>
        <v>43.45</v>
      </c>
      <c r="AB796">
        <v>136.5</v>
      </c>
      <c r="AC796">
        <f t="shared" si="51"/>
        <v>1.4633734929962108</v>
      </c>
      <c r="AI796" t="e">
        <f>IF(Y796="Yes",NA(),#REF!)</f>
        <v>#N/A</v>
      </c>
      <c r="AJ796" t="e">
        <f>IF(Y796="Yes",NA(),#REF!)</f>
        <v>#N/A</v>
      </c>
      <c r="AK796" t="e">
        <f>IF(Y796="Yes",NA(),#REF!)</f>
        <v>#N/A</v>
      </c>
    </row>
    <row r="797" spans="1:37" x14ac:dyDescent="0.35">
      <c r="A797" s="12">
        <v>797</v>
      </c>
      <c r="C797">
        <v>87</v>
      </c>
      <c r="E797" s="2">
        <v>2.5</v>
      </c>
      <c r="F797" s="2">
        <v>6</v>
      </c>
      <c r="G797" t="s">
        <v>59</v>
      </c>
      <c r="H797" t="s">
        <v>863</v>
      </c>
      <c r="J797" s="14">
        <f t="shared" si="49"/>
        <v>175.10000000000002</v>
      </c>
      <c r="K797">
        <v>1300</v>
      </c>
      <c r="N797" t="s">
        <v>37</v>
      </c>
      <c r="Q797">
        <v>4</v>
      </c>
      <c r="U797">
        <v>4</v>
      </c>
      <c r="W797" t="s">
        <v>1330</v>
      </c>
      <c r="X797" t="s">
        <v>40</v>
      </c>
      <c r="Y797" t="s">
        <v>40</v>
      </c>
      <c r="AA797">
        <f t="shared" si="50"/>
        <v>17.510000000000002</v>
      </c>
      <c r="AB797">
        <v>55</v>
      </c>
      <c r="AC797">
        <f t="shared" si="51"/>
        <v>0.23758294442772812</v>
      </c>
      <c r="AI797" t="e">
        <f>IF(Y797="Yes",NA(),#REF!)</f>
        <v>#N/A</v>
      </c>
      <c r="AJ797" t="e">
        <f>IF(Y797="Yes",NA(),#REF!)</f>
        <v>#N/A</v>
      </c>
      <c r="AK797" t="e">
        <f>IF(Y797="Yes",NA(),#REF!)</f>
        <v>#N/A</v>
      </c>
    </row>
    <row r="798" spans="1:37" x14ac:dyDescent="0.35">
      <c r="A798" s="12">
        <v>798</v>
      </c>
      <c r="C798">
        <v>87</v>
      </c>
      <c r="E798" s="2">
        <v>3.5</v>
      </c>
      <c r="F798" s="2">
        <v>3</v>
      </c>
      <c r="G798" t="s">
        <v>114</v>
      </c>
      <c r="H798" t="s">
        <v>35</v>
      </c>
      <c r="J798" s="14">
        <f t="shared" si="49"/>
        <v>499.7</v>
      </c>
      <c r="K798">
        <v>1300</v>
      </c>
      <c r="N798" t="s">
        <v>297</v>
      </c>
      <c r="Q798">
        <v>5</v>
      </c>
      <c r="U798">
        <v>2</v>
      </c>
      <c r="W798" t="s">
        <v>1331</v>
      </c>
      <c r="X798" t="s">
        <v>40</v>
      </c>
      <c r="Y798" t="s">
        <v>40</v>
      </c>
      <c r="Z798" t="s">
        <v>1332</v>
      </c>
      <c r="AA798">
        <f t="shared" si="50"/>
        <v>49.97</v>
      </c>
      <c r="AB798">
        <v>157</v>
      </c>
      <c r="AC798">
        <f t="shared" si="51"/>
        <v>1.9359279329583701</v>
      </c>
      <c r="AI798" t="e">
        <f>IF(Y798="Yes",NA(),#REF!)</f>
        <v>#N/A</v>
      </c>
      <c r="AJ798" t="e">
        <f>IF(Y798="Yes",NA(),#REF!)</f>
        <v>#N/A</v>
      </c>
      <c r="AK798" t="e">
        <f>IF(Y798="Yes",NA(),#REF!)</f>
        <v>#N/A</v>
      </c>
    </row>
    <row r="799" spans="1:37" x14ac:dyDescent="0.35">
      <c r="A799" s="12">
        <v>799</v>
      </c>
      <c r="C799">
        <v>87</v>
      </c>
      <c r="E799" s="2">
        <v>3</v>
      </c>
      <c r="F799" s="2">
        <v>2</v>
      </c>
      <c r="G799" t="s">
        <v>231</v>
      </c>
      <c r="H799" t="s">
        <v>1333</v>
      </c>
      <c r="J799" s="14">
        <f t="shared" si="49"/>
        <v>224.4</v>
      </c>
      <c r="K799">
        <v>1300</v>
      </c>
      <c r="N799" t="s">
        <v>54</v>
      </c>
      <c r="Q799" t="s">
        <v>38</v>
      </c>
      <c r="U799">
        <v>7</v>
      </c>
      <c r="W799" t="s">
        <v>1334</v>
      </c>
      <c r="X799" t="s">
        <v>40</v>
      </c>
      <c r="Y799" t="s">
        <v>40</v>
      </c>
      <c r="Z799" t="s">
        <v>1335</v>
      </c>
      <c r="AA799">
        <f t="shared" si="50"/>
        <v>22.44</v>
      </c>
      <c r="AB799">
        <v>70.5</v>
      </c>
      <c r="AC799">
        <f t="shared" si="51"/>
        <v>0.39036252216261669</v>
      </c>
      <c r="AI799" t="e">
        <f>IF(Y799="Yes",NA(),#REF!)</f>
        <v>#N/A</v>
      </c>
      <c r="AJ799" t="e">
        <f>IF(Y799="Yes",NA(),#REF!)</f>
        <v>#N/A</v>
      </c>
      <c r="AK799" t="e">
        <f>IF(Y799="Yes",NA(),#REF!)</f>
        <v>#N/A</v>
      </c>
    </row>
    <row r="800" spans="1:37" x14ac:dyDescent="0.35">
      <c r="A800" s="12">
        <v>800</v>
      </c>
      <c r="C800">
        <v>87</v>
      </c>
      <c r="E800" s="2">
        <v>9</v>
      </c>
      <c r="F800" s="2">
        <v>2</v>
      </c>
      <c r="G800" t="s">
        <v>63</v>
      </c>
      <c r="H800" t="s">
        <v>64</v>
      </c>
      <c r="J800" s="14">
        <f t="shared" si="49"/>
        <v>154.70000000000002</v>
      </c>
      <c r="K800">
        <v>1300</v>
      </c>
      <c r="N800" t="s">
        <v>54</v>
      </c>
      <c r="Q800" t="s">
        <v>55</v>
      </c>
      <c r="W800" t="s">
        <v>1336</v>
      </c>
      <c r="AA800">
        <f t="shared" si="50"/>
        <v>15.47</v>
      </c>
      <c r="AB800">
        <v>48.6</v>
      </c>
      <c r="AC800">
        <f t="shared" si="51"/>
        <v>0.1855079046018237</v>
      </c>
      <c r="AI800" t="e">
        <f>IF(Y800="Yes",NA(),#REF!)</f>
        <v>#REF!</v>
      </c>
      <c r="AJ800" t="e">
        <f>IF(Y800="Yes",NA(),#REF!)</f>
        <v>#REF!</v>
      </c>
      <c r="AK800" t="e">
        <f>IF(Y800="Yes",NA(),#REF!)</f>
        <v>#REF!</v>
      </c>
    </row>
    <row r="801" spans="1:37" x14ac:dyDescent="0.35">
      <c r="A801" s="12">
        <v>801</v>
      </c>
      <c r="C801">
        <v>86</v>
      </c>
      <c r="E801" s="2">
        <v>5.5</v>
      </c>
      <c r="F801" s="2">
        <v>8</v>
      </c>
      <c r="G801" t="s">
        <v>66</v>
      </c>
      <c r="H801" t="s">
        <v>1337</v>
      </c>
      <c r="J801" s="14">
        <f t="shared" si="49"/>
        <v>260.10000000000002</v>
      </c>
      <c r="K801">
        <v>1300</v>
      </c>
      <c r="N801" t="s">
        <v>54</v>
      </c>
      <c r="Q801" t="s">
        <v>38</v>
      </c>
      <c r="U801">
        <v>5</v>
      </c>
      <c r="W801" t="s">
        <v>1338</v>
      </c>
      <c r="X801" t="s">
        <v>40</v>
      </c>
      <c r="Y801" t="s">
        <v>40</v>
      </c>
      <c r="AA801">
        <f t="shared" si="50"/>
        <v>26.01</v>
      </c>
      <c r="AB801">
        <v>81.7</v>
      </c>
      <c r="AC801">
        <f t="shared" si="51"/>
        <v>0.52424463468799942</v>
      </c>
      <c r="AI801" t="e">
        <f>IF(Y801="Yes",NA(),#REF!)</f>
        <v>#N/A</v>
      </c>
      <c r="AJ801" t="e">
        <f>IF(Y801="Yes",NA(),#REF!)</f>
        <v>#N/A</v>
      </c>
      <c r="AK801" t="e">
        <f>IF(Y801="Yes",NA(),#REF!)</f>
        <v>#N/A</v>
      </c>
    </row>
    <row r="802" spans="1:37" x14ac:dyDescent="0.35">
      <c r="A802" s="12">
        <v>802</v>
      </c>
      <c r="C802">
        <v>86</v>
      </c>
      <c r="E802" s="2">
        <v>2</v>
      </c>
      <c r="F802" s="2">
        <v>6</v>
      </c>
      <c r="G802" t="s">
        <v>66</v>
      </c>
      <c r="H802" t="s">
        <v>237</v>
      </c>
      <c r="J802" s="14">
        <f t="shared" si="49"/>
        <v>388.29999999999995</v>
      </c>
      <c r="K802">
        <v>1300</v>
      </c>
      <c r="N802" t="s">
        <v>1327</v>
      </c>
      <c r="Q802">
        <v>5</v>
      </c>
      <c r="U802">
        <v>2</v>
      </c>
      <c r="W802" t="s">
        <v>1339</v>
      </c>
      <c r="X802" t="s">
        <v>40</v>
      </c>
      <c r="Y802" t="s">
        <v>40</v>
      </c>
      <c r="Z802" t="s">
        <v>307</v>
      </c>
      <c r="AA802">
        <f t="shared" si="50"/>
        <v>38.83</v>
      </c>
      <c r="AB802">
        <v>122</v>
      </c>
      <c r="AC802">
        <f t="shared" si="51"/>
        <v>1.168986626400762</v>
      </c>
      <c r="AI802" t="e">
        <f>IF(Y802="Yes",NA(),#REF!)</f>
        <v>#N/A</v>
      </c>
      <c r="AJ802" t="e">
        <f>IF(Y802="Yes",NA(),#REF!)</f>
        <v>#N/A</v>
      </c>
      <c r="AK802" t="e">
        <f>IF(Y802="Yes",NA(),#REF!)</f>
        <v>#N/A</v>
      </c>
    </row>
    <row r="803" spans="1:37" x14ac:dyDescent="0.35">
      <c r="A803" s="12">
        <v>803</v>
      </c>
      <c r="C803">
        <v>86</v>
      </c>
      <c r="E803" s="2">
        <v>1</v>
      </c>
      <c r="F803" s="2">
        <v>5</v>
      </c>
      <c r="G803" t="s">
        <v>114</v>
      </c>
      <c r="H803" t="s">
        <v>35</v>
      </c>
      <c r="J803" s="14">
        <f t="shared" si="49"/>
        <v>129.19999999999999</v>
      </c>
      <c r="K803">
        <v>1300</v>
      </c>
      <c r="N803" t="s">
        <v>54</v>
      </c>
      <c r="Q803" t="s">
        <v>152</v>
      </c>
      <c r="W803" t="s">
        <v>1340</v>
      </c>
      <c r="X803" t="s">
        <v>40</v>
      </c>
      <c r="Y803" t="s">
        <v>40</v>
      </c>
      <c r="AA803">
        <f t="shared" si="50"/>
        <v>12.92</v>
      </c>
      <c r="AB803">
        <v>40.6</v>
      </c>
      <c r="AC803">
        <f t="shared" si="51"/>
        <v>0.12946189166178182</v>
      </c>
      <c r="AI803" t="e">
        <f>IF(Y803="Yes",NA(),#REF!)</f>
        <v>#N/A</v>
      </c>
      <c r="AJ803" t="e">
        <f>IF(Y803="Yes",NA(),#REF!)</f>
        <v>#N/A</v>
      </c>
      <c r="AK803" t="e">
        <f>IF(Y803="Yes",NA(),#REF!)</f>
        <v>#N/A</v>
      </c>
    </row>
    <row r="804" spans="1:37" x14ac:dyDescent="0.35">
      <c r="A804" s="12">
        <v>804</v>
      </c>
      <c r="C804">
        <v>85</v>
      </c>
      <c r="E804" s="23">
        <v>9.5</v>
      </c>
      <c r="F804" s="23">
        <v>6.5</v>
      </c>
      <c r="G804" t="s">
        <v>886</v>
      </c>
      <c r="H804" t="s">
        <v>887</v>
      </c>
      <c r="J804" s="14">
        <f t="shared" si="49"/>
        <v>234.3</v>
      </c>
      <c r="K804">
        <v>1300</v>
      </c>
      <c r="N804" t="s">
        <v>54</v>
      </c>
      <c r="Q804">
        <v>5</v>
      </c>
      <c r="W804" t="s">
        <v>1341</v>
      </c>
      <c r="X804" t="s">
        <v>40</v>
      </c>
      <c r="Y804" t="s">
        <v>40</v>
      </c>
      <c r="AA804">
        <f t="shared" si="50"/>
        <v>23.43</v>
      </c>
      <c r="AB804" s="26">
        <v>73.599999999999994</v>
      </c>
      <c r="AC804">
        <f t="shared" si="51"/>
        <v>0.42544704351974405</v>
      </c>
      <c r="AI804" t="e">
        <f>IF(Y804="Yes",NA(),#REF!)</f>
        <v>#N/A</v>
      </c>
      <c r="AJ804" t="e">
        <f>IF(Y804="Yes",NA(),#REF!)</f>
        <v>#N/A</v>
      </c>
      <c r="AK804" t="e">
        <f>IF(Y804="Yes",NA(),#REF!)</f>
        <v>#N/A</v>
      </c>
    </row>
    <row r="805" spans="1:37" x14ac:dyDescent="0.35">
      <c r="A805" s="12">
        <v>805</v>
      </c>
      <c r="C805">
        <v>85</v>
      </c>
      <c r="E805" s="2">
        <v>6</v>
      </c>
      <c r="F805" s="2">
        <v>7.5</v>
      </c>
      <c r="G805" t="s">
        <v>114</v>
      </c>
      <c r="H805" t="s">
        <v>35</v>
      </c>
      <c r="I805" t="s">
        <v>1342</v>
      </c>
      <c r="J805" s="14">
        <f t="shared" si="49"/>
        <v>135.9</v>
      </c>
      <c r="K805">
        <v>1300</v>
      </c>
      <c r="N805" t="s">
        <v>54</v>
      </c>
      <c r="Q805">
        <v>1</v>
      </c>
      <c r="U805">
        <v>3</v>
      </c>
      <c r="W805" t="s">
        <v>1343</v>
      </c>
      <c r="X805" t="s">
        <v>40</v>
      </c>
      <c r="Y805" t="s">
        <v>40</v>
      </c>
      <c r="AA805">
        <f t="shared" si="50"/>
        <v>13.59</v>
      </c>
      <c r="AB805">
        <v>42.7</v>
      </c>
      <c r="AC805">
        <f t="shared" si="51"/>
        <v>0.14320086173409335</v>
      </c>
      <c r="AI805" t="e">
        <f>IF(Y805="Yes",NA(),#REF!)</f>
        <v>#N/A</v>
      </c>
      <c r="AJ805" t="e">
        <f>IF(Y805="Yes",NA(),#REF!)</f>
        <v>#N/A</v>
      </c>
      <c r="AK805" t="e">
        <f>IF(Y805="Yes",NA(),#REF!)</f>
        <v>#N/A</v>
      </c>
    </row>
    <row r="806" spans="1:37" x14ac:dyDescent="0.35">
      <c r="A806" s="12">
        <v>806</v>
      </c>
      <c r="C806">
        <v>85</v>
      </c>
      <c r="E806" s="23">
        <v>5</v>
      </c>
      <c r="F806" s="23">
        <v>5</v>
      </c>
      <c r="G806" t="s">
        <v>886</v>
      </c>
      <c r="H806" t="s">
        <v>887</v>
      </c>
      <c r="J806" s="14">
        <f t="shared" si="49"/>
        <v>244.1</v>
      </c>
      <c r="K806">
        <v>1300</v>
      </c>
      <c r="N806" t="s">
        <v>54</v>
      </c>
      <c r="Q806">
        <v>5</v>
      </c>
      <c r="W806" t="s">
        <v>1344</v>
      </c>
      <c r="X806" t="s">
        <v>40</v>
      </c>
      <c r="Y806" t="s">
        <v>40</v>
      </c>
      <c r="AA806">
        <f t="shared" si="50"/>
        <v>24.41</v>
      </c>
      <c r="AB806" s="26">
        <v>76.7</v>
      </c>
      <c r="AC806">
        <f t="shared" si="51"/>
        <v>0.46204110014692151</v>
      </c>
      <c r="AI806" t="e">
        <f>IF(Y806="Yes",NA(),#REF!)</f>
        <v>#N/A</v>
      </c>
      <c r="AJ806" t="e">
        <f>IF(Y806="Yes",NA(),#REF!)</f>
        <v>#N/A</v>
      </c>
      <c r="AK806" t="e">
        <f>IF(Y806="Yes",NA(),#REF!)</f>
        <v>#N/A</v>
      </c>
    </row>
    <row r="807" spans="1:37" x14ac:dyDescent="0.35">
      <c r="A807" s="12">
        <v>807</v>
      </c>
      <c r="C807">
        <v>85</v>
      </c>
      <c r="E807" s="2">
        <v>1</v>
      </c>
      <c r="F807" s="2">
        <v>5</v>
      </c>
      <c r="G807" t="s">
        <v>63</v>
      </c>
      <c r="H807" t="s">
        <v>64</v>
      </c>
      <c r="J807" s="14">
        <f t="shared" si="49"/>
        <v>118.69999999999999</v>
      </c>
      <c r="K807">
        <v>1300</v>
      </c>
      <c r="N807" t="s">
        <v>54</v>
      </c>
      <c r="Q807" t="s">
        <v>55</v>
      </c>
      <c r="W807" t="s">
        <v>1345</v>
      </c>
      <c r="AA807">
        <f t="shared" si="50"/>
        <v>11.87</v>
      </c>
      <c r="AB807">
        <v>37.299999999999997</v>
      </c>
      <c r="AC807">
        <f t="shared" si="51"/>
        <v>0.10927166107532357</v>
      </c>
      <c r="AI807" t="e">
        <f>IF(Y807="Yes",NA(),#REF!)</f>
        <v>#REF!</v>
      </c>
      <c r="AJ807" t="e">
        <f>IF(Y807="Yes",NA(),#REF!)</f>
        <v>#REF!</v>
      </c>
      <c r="AK807" t="e">
        <f>IF(Y807="Yes",NA(),#REF!)</f>
        <v>#REF!</v>
      </c>
    </row>
    <row r="808" spans="1:37" x14ac:dyDescent="0.35">
      <c r="A808" s="12">
        <v>808</v>
      </c>
      <c r="C808">
        <v>85</v>
      </c>
      <c r="E808" s="2">
        <v>8.5</v>
      </c>
      <c r="F808" s="2">
        <v>0.3</v>
      </c>
      <c r="G808" t="s">
        <v>59</v>
      </c>
      <c r="H808" t="s">
        <v>169</v>
      </c>
      <c r="J808" s="14">
        <f t="shared" si="49"/>
        <v>107.30000000000001</v>
      </c>
      <c r="K808">
        <v>1300</v>
      </c>
      <c r="N808" t="s">
        <v>54</v>
      </c>
      <c r="Q808" t="s">
        <v>152</v>
      </c>
      <c r="W808" t="s">
        <v>1346</v>
      </c>
      <c r="X808" t="s">
        <v>40</v>
      </c>
      <c r="Y808" t="s">
        <v>40</v>
      </c>
      <c r="AA808">
        <f t="shared" si="50"/>
        <v>10.73</v>
      </c>
      <c r="AB808">
        <v>33.700000000000003</v>
      </c>
      <c r="AC808">
        <f t="shared" si="51"/>
        <v>8.9196884018884828E-2</v>
      </c>
      <c r="AI808" t="e">
        <f>IF(Y808="Yes",NA(),#REF!)</f>
        <v>#N/A</v>
      </c>
      <c r="AJ808" t="e">
        <f>IF(Y808="Yes",NA(),#REF!)</f>
        <v>#N/A</v>
      </c>
      <c r="AK808" t="e">
        <f>IF(Y808="Yes",NA(),#REF!)</f>
        <v>#N/A</v>
      </c>
    </row>
    <row r="809" spans="1:37" x14ac:dyDescent="0.35">
      <c r="A809" s="12">
        <v>809</v>
      </c>
      <c r="C809">
        <v>84</v>
      </c>
      <c r="E809" s="2">
        <v>4.5</v>
      </c>
      <c r="F809" s="2">
        <v>9</v>
      </c>
      <c r="G809" t="s">
        <v>63</v>
      </c>
      <c r="H809" t="s">
        <v>64</v>
      </c>
      <c r="J809" s="14">
        <f t="shared" si="49"/>
        <v>133.1</v>
      </c>
      <c r="K809">
        <v>1300</v>
      </c>
      <c r="N809" t="s">
        <v>54</v>
      </c>
      <c r="Q809" t="s">
        <v>55</v>
      </c>
      <c r="W809" t="s">
        <v>1347</v>
      </c>
      <c r="AA809">
        <f t="shared" si="50"/>
        <v>13.31</v>
      </c>
      <c r="AB809">
        <v>41.8</v>
      </c>
      <c r="AC809">
        <f t="shared" si="51"/>
        <v>0.13722790870145574</v>
      </c>
      <c r="AI809" t="e">
        <f>IF(Y809="Yes",NA(),#REF!)</f>
        <v>#REF!</v>
      </c>
      <c r="AJ809" t="e">
        <f>IF(Y809="Yes",NA(),#REF!)</f>
        <v>#REF!</v>
      </c>
      <c r="AK809" t="e">
        <f>IF(Y809="Yes",NA(),#REF!)</f>
        <v>#REF!</v>
      </c>
    </row>
    <row r="810" spans="1:37" x14ac:dyDescent="0.35">
      <c r="A810" s="12">
        <v>810</v>
      </c>
      <c r="C810">
        <v>84</v>
      </c>
      <c r="E810" s="2">
        <v>3.5</v>
      </c>
      <c r="F810" s="2">
        <v>8</v>
      </c>
      <c r="G810" t="s">
        <v>63</v>
      </c>
      <c r="H810" t="s">
        <v>64</v>
      </c>
      <c r="J810" s="14">
        <f t="shared" si="49"/>
        <v>121.30000000000001</v>
      </c>
      <c r="K810">
        <v>1300</v>
      </c>
      <c r="N810" t="s">
        <v>54</v>
      </c>
      <c r="Q810" t="s">
        <v>55</v>
      </c>
      <c r="W810" t="s">
        <v>1348</v>
      </c>
      <c r="AA810">
        <f t="shared" si="50"/>
        <v>12.13</v>
      </c>
      <c r="AB810">
        <v>38.1</v>
      </c>
      <c r="AC810">
        <f t="shared" si="51"/>
        <v>0.11400918279693702</v>
      </c>
      <c r="AI810" t="e">
        <f>IF(Y810="Yes",NA(),#REF!)</f>
        <v>#REF!</v>
      </c>
      <c r="AJ810" t="e">
        <f>IF(Y810="Yes",NA(),#REF!)</f>
        <v>#REF!</v>
      </c>
      <c r="AK810" t="e">
        <f>IF(Y810="Yes",NA(),#REF!)</f>
        <v>#REF!</v>
      </c>
    </row>
    <row r="811" spans="1:37" x14ac:dyDescent="0.35">
      <c r="A811" s="12">
        <v>811</v>
      </c>
      <c r="C811">
        <v>84</v>
      </c>
      <c r="E811" s="2">
        <v>3</v>
      </c>
      <c r="F811" s="2">
        <v>8.1999999999999993</v>
      </c>
      <c r="G811" t="s">
        <v>114</v>
      </c>
      <c r="H811" t="s">
        <v>35</v>
      </c>
      <c r="J811" s="14">
        <f t="shared" si="49"/>
        <v>100.3</v>
      </c>
      <c r="K811">
        <v>1300</v>
      </c>
      <c r="N811" t="s">
        <v>54</v>
      </c>
      <c r="Q811">
        <v>1</v>
      </c>
      <c r="U811">
        <v>3</v>
      </c>
      <c r="W811" t="s">
        <v>1349</v>
      </c>
      <c r="X811" t="s">
        <v>40</v>
      </c>
      <c r="Y811" t="s">
        <v>40</v>
      </c>
      <c r="AA811">
        <f t="shared" si="50"/>
        <v>10.029999999999999</v>
      </c>
      <c r="AB811">
        <v>31.5</v>
      </c>
      <c r="AC811">
        <f t="shared" si="51"/>
        <v>7.793113276311181E-2</v>
      </c>
      <c r="AI811" t="e">
        <f>IF(Y811="Yes",NA(),#REF!)</f>
        <v>#N/A</v>
      </c>
      <c r="AJ811" t="e">
        <f>IF(Y811="Yes",NA(),#REF!)</f>
        <v>#N/A</v>
      </c>
      <c r="AK811" t="e">
        <f>IF(Y811="Yes",NA(),#REF!)</f>
        <v>#N/A</v>
      </c>
    </row>
    <row r="812" spans="1:37" x14ac:dyDescent="0.35">
      <c r="A812" s="12">
        <v>812</v>
      </c>
      <c r="C812">
        <v>84</v>
      </c>
      <c r="E812" s="2">
        <v>1.5</v>
      </c>
      <c r="F812" s="2">
        <v>9.5</v>
      </c>
      <c r="G812" t="s">
        <v>63</v>
      </c>
      <c r="H812" t="s">
        <v>64</v>
      </c>
      <c r="J812" s="14">
        <f t="shared" si="49"/>
        <v>107</v>
      </c>
      <c r="K812">
        <v>1300</v>
      </c>
      <c r="N812" t="s">
        <v>61</v>
      </c>
      <c r="Q812" t="s">
        <v>55</v>
      </c>
      <c r="W812" t="s">
        <v>1350</v>
      </c>
      <c r="AA812">
        <f t="shared" si="50"/>
        <v>10.7</v>
      </c>
      <c r="AB812">
        <v>33.6</v>
      </c>
      <c r="AC812">
        <f t="shared" si="51"/>
        <v>8.866831105491832E-2</v>
      </c>
      <c r="AI812" t="e">
        <f>IF(Y812="Yes",NA(),#REF!)</f>
        <v>#REF!</v>
      </c>
      <c r="AJ812" t="e">
        <f>IF(Y812="Yes",NA(),#REF!)</f>
        <v>#REF!</v>
      </c>
      <c r="AK812" t="e">
        <f>IF(Y812="Yes",NA(),#REF!)</f>
        <v>#REF!</v>
      </c>
    </row>
    <row r="813" spans="1:37" x14ac:dyDescent="0.35">
      <c r="A813" s="12">
        <v>813</v>
      </c>
      <c r="C813">
        <v>84</v>
      </c>
      <c r="E813" s="2">
        <v>0.8</v>
      </c>
      <c r="F813" s="2">
        <v>8.5</v>
      </c>
      <c r="G813" t="s">
        <v>63</v>
      </c>
      <c r="H813" t="s">
        <v>64</v>
      </c>
      <c r="J813" s="14">
        <f t="shared" si="49"/>
        <v>115.19999999999999</v>
      </c>
      <c r="K813">
        <v>1300</v>
      </c>
      <c r="N813" t="s">
        <v>61</v>
      </c>
      <c r="Q813" t="s">
        <v>934</v>
      </c>
      <c r="W813" t="s">
        <v>1351</v>
      </c>
      <c r="Z813" t="s">
        <v>784</v>
      </c>
      <c r="AA813">
        <f t="shared" si="50"/>
        <v>11.52</v>
      </c>
      <c r="AB813">
        <v>36.200000000000003</v>
      </c>
      <c r="AC813">
        <f t="shared" si="51"/>
        <v>0.10292171692425522</v>
      </c>
      <c r="AI813" t="e">
        <f>IF(Y813="Yes",NA(),#REF!)</f>
        <v>#REF!</v>
      </c>
      <c r="AJ813" t="e">
        <f>IF(Y813="Yes",NA(),#REF!)</f>
        <v>#REF!</v>
      </c>
      <c r="AK813" t="e">
        <f>IF(Y813="Yes",NA(),#REF!)</f>
        <v>#REF!</v>
      </c>
    </row>
    <row r="814" spans="1:37" x14ac:dyDescent="0.35">
      <c r="A814" s="12">
        <v>814</v>
      </c>
      <c r="C814">
        <v>84</v>
      </c>
      <c r="E814" s="2">
        <v>2.5</v>
      </c>
      <c r="F814" s="2">
        <v>7</v>
      </c>
      <c r="G814" t="s">
        <v>63</v>
      </c>
      <c r="H814" t="s">
        <v>64</v>
      </c>
      <c r="J814" s="14">
        <f t="shared" si="49"/>
        <v>136.9</v>
      </c>
      <c r="K814">
        <v>1300</v>
      </c>
      <c r="N814" t="s">
        <v>54</v>
      </c>
      <c r="Q814" t="s">
        <v>152</v>
      </c>
      <c r="W814" t="s">
        <v>1352</v>
      </c>
      <c r="AA814">
        <f t="shared" si="50"/>
        <v>13.69</v>
      </c>
      <c r="AB814">
        <v>43</v>
      </c>
      <c r="AC814">
        <f t="shared" si="51"/>
        <v>0.14522012041218818</v>
      </c>
      <c r="AI814" t="e">
        <f>IF(Y814="Yes",NA(),#REF!)</f>
        <v>#REF!</v>
      </c>
      <c r="AJ814" t="e">
        <f>IF(Y814="Yes",NA(),#REF!)</f>
        <v>#REF!</v>
      </c>
      <c r="AK814" t="e">
        <f>IF(Y814="Yes",NA(),#REF!)</f>
        <v>#REF!</v>
      </c>
    </row>
    <row r="815" spans="1:37" x14ac:dyDescent="0.35">
      <c r="A815" s="12">
        <v>815</v>
      </c>
      <c r="C815">
        <v>84</v>
      </c>
      <c r="E815" s="2">
        <v>3</v>
      </c>
      <c r="F815" s="2">
        <v>7</v>
      </c>
      <c r="G815" t="s">
        <v>63</v>
      </c>
      <c r="H815" t="s">
        <v>64</v>
      </c>
      <c r="J815" s="14">
        <f t="shared" si="49"/>
        <v>132.69999999999999</v>
      </c>
      <c r="K815">
        <v>1300</v>
      </c>
      <c r="N815" t="s">
        <v>945</v>
      </c>
      <c r="Q815" t="s">
        <v>152</v>
      </c>
      <c r="W815" t="s">
        <v>1353</v>
      </c>
      <c r="AA815">
        <f t="shared" si="50"/>
        <v>13.27</v>
      </c>
      <c r="AB815">
        <v>41.7</v>
      </c>
      <c r="AC815">
        <f t="shared" si="51"/>
        <v>0.13657210123501892</v>
      </c>
      <c r="AI815" t="e">
        <f>IF(Y815="Yes",NA(),#REF!)</f>
        <v>#REF!</v>
      </c>
      <c r="AJ815" t="e">
        <f>IF(Y815="Yes",NA(),#REF!)</f>
        <v>#REF!</v>
      </c>
      <c r="AK815" t="e">
        <f>IF(Y815="Yes",NA(),#REF!)</f>
        <v>#REF!</v>
      </c>
    </row>
    <row r="816" spans="1:37" x14ac:dyDescent="0.35">
      <c r="A816" s="12">
        <v>816</v>
      </c>
      <c r="C816">
        <v>84</v>
      </c>
      <c r="E816" s="2">
        <v>1</v>
      </c>
      <c r="F816" s="2">
        <v>4</v>
      </c>
      <c r="G816" t="s">
        <v>63</v>
      </c>
      <c r="H816" t="s">
        <v>64</v>
      </c>
      <c r="J816" s="14">
        <f t="shared" si="49"/>
        <v>101.89999999999999</v>
      </c>
      <c r="K816">
        <v>1300</v>
      </c>
      <c r="N816" t="s">
        <v>54</v>
      </c>
      <c r="Q816">
        <v>1</v>
      </c>
      <c r="W816" t="s">
        <v>1354</v>
      </c>
      <c r="AA816">
        <f t="shared" si="50"/>
        <v>10.19</v>
      </c>
      <c r="AB816">
        <v>32</v>
      </c>
      <c r="AC816">
        <f t="shared" si="51"/>
        <v>8.0424771931898703E-2</v>
      </c>
      <c r="AI816" t="e">
        <f>IF(Y816="Yes",NA(),#REF!)</f>
        <v>#REF!</v>
      </c>
      <c r="AJ816" t="e">
        <f>IF(Y816="Yes",NA(),#REF!)</f>
        <v>#REF!</v>
      </c>
      <c r="AK816" t="e">
        <f>IF(Y816="Yes",NA(),#REF!)</f>
        <v>#REF!</v>
      </c>
    </row>
    <row r="817" spans="1:37" x14ac:dyDescent="0.35">
      <c r="A817" s="12">
        <v>817</v>
      </c>
      <c r="C817">
        <v>84</v>
      </c>
      <c r="E817" s="2">
        <v>1.5</v>
      </c>
      <c r="F817" s="2">
        <v>4</v>
      </c>
      <c r="G817" t="s">
        <v>63</v>
      </c>
      <c r="H817" t="s">
        <v>64</v>
      </c>
      <c r="J817" s="14">
        <f t="shared" si="49"/>
        <v>105.7</v>
      </c>
      <c r="K817">
        <v>1300</v>
      </c>
      <c r="N817" t="s">
        <v>54</v>
      </c>
      <c r="Q817">
        <v>1</v>
      </c>
      <c r="W817" t="s">
        <v>1355</v>
      </c>
      <c r="Z817" t="s">
        <v>1356</v>
      </c>
      <c r="AA817">
        <f t="shared" si="50"/>
        <v>10.57</v>
      </c>
      <c r="AB817">
        <v>33.200000000000003</v>
      </c>
      <c r="AC817">
        <f t="shared" si="51"/>
        <v>8.6569727162320351E-2</v>
      </c>
      <c r="AI817" t="e">
        <f>IF(Y817="Yes",NA(),#REF!)</f>
        <v>#REF!</v>
      </c>
      <c r="AJ817" t="e">
        <f>IF(Y817="Yes",NA(),#REF!)</f>
        <v>#REF!</v>
      </c>
      <c r="AK817" t="e">
        <f>IF(Y817="Yes",NA(),#REF!)</f>
        <v>#REF!</v>
      </c>
    </row>
    <row r="818" spans="1:37" x14ac:dyDescent="0.35">
      <c r="A818" s="12">
        <v>818</v>
      </c>
      <c r="C818">
        <v>84</v>
      </c>
      <c r="E818" s="2">
        <v>2</v>
      </c>
      <c r="F818" s="2">
        <v>4.5</v>
      </c>
      <c r="G818" t="s">
        <v>70</v>
      </c>
      <c r="H818" t="s">
        <v>35</v>
      </c>
      <c r="J818" s="14">
        <f t="shared" si="49"/>
        <v>140.1</v>
      </c>
      <c r="K818">
        <v>1300</v>
      </c>
      <c r="N818" t="s">
        <v>61</v>
      </c>
      <c r="Q818">
        <v>1</v>
      </c>
      <c r="W818" t="s">
        <v>1357</v>
      </c>
      <c r="Y818" t="s">
        <v>40</v>
      </c>
      <c r="Z818" t="s">
        <v>1358</v>
      </c>
      <c r="AA818">
        <f t="shared" si="50"/>
        <v>14.01</v>
      </c>
      <c r="AB818">
        <v>44</v>
      </c>
      <c r="AC818">
        <f t="shared" si="51"/>
        <v>0.15205308443374596</v>
      </c>
      <c r="AI818" t="e">
        <f>IF(Y818="Yes",NA(),#REF!)</f>
        <v>#N/A</v>
      </c>
      <c r="AJ818" t="e">
        <f>IF(Y818="Yes",NA(),#REF!)</f>
        <v>#N/A</v>
      </c>
      <c r="AK818" t="e">
        <f>IF(Y818="Yes",NA(),#REF!)</f>
        <v>#N/A</v>
      </c>
    </row>
    <row r="819" spans="1:37" x14ac:dyDescent="0.35">
      <c r="A819" s="12">
        <v>819</v>
      </c>
      <c r="C819">
        <v>84</v>
      </c>
      <c r="E819" s="23">
        <v>2</v>
      </c>
      <c r="F819" s="23">
        <v>2.5</v>
      </c>
      <c r="G819" t="s">
        <v>70</v>
      </c>
      <c r="H819" t="s">
        <v>1359</v>
      </c>
      <c r="I819" t="s">
        <v>1360</v>
      </c>
      <c r="J819" s="14">
        <f t="shared" si="49"/>
        <v>112.69999999999999</v>
      </c>
      <c r="K819">
        <v>1300</v>
      </c>
      <c r="N819" t="s">
        <v>81</v>
      </c>
      <c r="Q819">
        <v>1</v>
      </c>
      <c r="W819" t="s">
        <v>1361</v>
      </c>
      <c r="X819" t="s">
        <v>40</v>
      </c>
      <c r="Y819" t="s">
        <v>40</v>
      </c>
      <c r="AA819">
        <f t="shared" si="50"/>
        <v>11.27</v>
      </c>
      <c r="AB819" s="26">
        <v>35.4</v>
      </c>
      <c r="AC819">
        <f t="shared" si="51"/>
        <v>9.8422956244314616E-2</v>
      </c>
      <c r="AI819" t="e">
        <f>IF(Y819="Yes",NA(),#REF!)</f>
        <v>#N/A</v>
      </c>
      <c r="AJ819" t="e">
        <f>IF(Y819="Yes",NA(),#REF!)</f>
        <v>#N/A</v>
      </c>
      <c r="AK819" t="e">
        <f>IF(Y819="Yes",NA(),#REF!)</f>
        <v>#N/A</v>
      </c>
    </row>
    <row r="820" spans="1:37" x14ac:dyDescent="0.35">
      <c r="A820" s="12">
        <v>820</v>
      </c>
      <c r="C820">
        <v>84</v>
      </c>
      <c r="E820" s="2">
        <v>9</v>
      </c>
      <c r="F820" s="2">
        <v>0.1</v>
      </c>
      <c r="G820" t="s">
        <v>63</v>
      </c>
      <c r="H820" t="s">
        <v>64</v>
      </c>
      <c r="J820" s="14">
        <f t="shared" si="49"/>
        <v>130.80000000000001</v>
      </c>
      <c r="K820">
        <v>1300</v>
      </c>
      <c r="N820" t="s">
        <v>54</v>
      </c>
      <c r="Q820" t="s">
        <v>38</v>
      </c>
      <c r="W820" t="s">
        <v>1362</v>
      </c>
      <c r="Z820" t="s">
        <v>1363</v>
      </c>
      <c r="AA820">
        <f t="shared" si="50"/>
        <v>13.08</v>
      </c>
      <c r="AB820">
        <v>41.1</v>
      </c>
      <c r="AC820">
        <f t="shared" si="51"/>
        <v>0.13267024315926038</v>
      </c>
      <c r="AI820" t="e">
        <f>IF(Y820="Yes",NA(),#REF!)</f>
        <v>#REF!</v>
      </c>
      <c r="AJ820" t="e">
        <f>IF(Y820="Yes",NA(),#REF!)</f>
        <v>#REF!</v>
      </c>
      <c r="AK820" t="e">
        <f>IF(Y820="Yes",NA(),#REF!)</f>
        <v>#REF!</v>
      </c>
    </row>
    <row r="821" spans="1:37" x14ac:dyDescent="0.35">
      <c r="A821" s="12">
        <v>821</v>
      </c>
      <c r="C821">
        <v>83</v>
      </c>
      <c r="E821" s="2">
        <v>7.5</v>
      </c>
      <c r="F821" s="2">
        <v>5</v>
      </c>
      <c r="G821" t="s">
        <v>63</v>
      </c>
      <c r="H821" t="s">
        <v>64</v>
      </c>
      <c r="J821" s="14">
        <f t="shared" si="49"/>
        <v>124.1</v>
      </c>
      <c r="K821">
        <v>1300</v>
      </c>
      <c r="N821" t="s">
        <v>54</v>
      </c>
      <c r="Q821" t="s">
        <v>152</v>
      </c>
      <c r="R821">
        <v>0</v>
      </c>
      <c r="W821" t="s">
        <v>1364</v>
      </c>
      <c r="AA821">
        <f t="shared" si="50"/>
        <v>12.41</v>
      </c>
      <c r="AB821">
        <v>39</v>
      </c>
      <c r="AC821">
        <f t="shared" si="51"/>
        <v>0.11945906065275187</v>
      </c>
      <c r="AI821" t="e">
        <f>IF(Y821="Yes",NA(),#REF!)</f>
        <v>#REF!</v>
      </c>
      <c r="AJ821" t="e">
        <f>IF(Y821="Yes",NA(),#REF!)</f>
        <v>#REF!</v>
      </c>
      <c r="AK821" t="e">
        <f>IF(Y821="Yes",NA(),#REF!)</f>
        <v>#REF!</v>
      </c>
    </row>
    <row r="822" spans="1:37" x14ac:dyDescent="0.35">
      <c r="A822" s="12">
        <v>822</v>
      </c>
      <c r="C822">
        <v>83</v>
      </c>
      <c r="E822" s="2">
        <v>5</v>
      </c>
      <c r="F822" s="2">
        <v>8</v>
      </c>
      <c r="G822" t="s">
        <v>1521</v>
      </c>
      <c r="H822" t="s">
        <v>1522</v>
      </c>
      <c r="J822" s="14">
        <f t="shared" si="49"/>
        <v>256.2</v>
      </c>
      <c r="K822">
        <v>1300</v>
      </c>
      <c r="N822" t="s">
        <v>945</v>
      </c>
      <c r="Q822" t="s">
        <v>38</v>
      </c>
      <c r="U822">
        <v>3</v>
      </c>
      <c r="W822" t="s">
        <v>1365</v>
      </c>
      <c r="X822" t="s">
        <v>40</v>
      </c>
      <c r="Y822" t="s">
        <v>40</v>
      </c>
      <c r="AA822">
        <f t="shared" si="50"/>
        <v>25.62</v>
      </c>
      <c r="AB822">
        <v>80.5</v>
      </c>
      <c r="AC822">
        <f t="shared" si="51"/>
        <v>0.50895764483563144</v>
      </c>
      <c r="AI822" t="e">
        <f>IF(Y822="Yes",NA(),#REF!)</f>
        <v>#N/A</v>
      </c>
      <c r="AJ822" t="e">
        <f>IF(Y822="Yes",NA(),#REF!)</f>
        <v>#N/A</v>
      </c>
      <c r="AK822" t="e">
        <f>IF(Y822="Yes",NA(),#REF!)</f>
        <v>#N/A</v>
      </c>
    </row>
    <row r="823" spans="1:37" x14ac:dyDescent="0.35">
      <c r="A823" s="12">
        <v>823</v>
      </c>
      <c r="C823">
        <v>83</v>
      </c>
      <c r="E823" s="2">
        <v>3</v>
      </c>
      <c r="F823" s="2">
        <v>7.8</v>
      </c>
      <c r="G823" t="s">
        <v>63</v>
      </c>
      <c r="H823" t="s">
        <v>64</v>
      </c>
      <c r="J823" s="14">
        <f t="shared" si="49"/>
        <v>128</v>
      </c>
      <c r="K823">
        <v>1300</v>
      </c>
      <c r="N823" t="s">
        <v>61</v>
      </c>
      <c r="Q823">
        <v>4</v>
      </c>
      <c r="W823" t="s">
        <v>1366</v>
      </c>
      <c r="AA823">
        <f t="shared" si="50"/>
        <v>12.8</v>
      </c>
      <c r="AB823">
        <v>40.200000000000003</v>
      </c>
      <c r="AC823">
        <f t="shared" ref="AC823:AC838" si="52">PI()*(AB823/2)*(AB823/2)/10000</f>
        <v>0.12692348479768126</v>
      </c>
      <c r="AI823" t="e">
        <f>IF(Y823="Yes",NA(),#REF!)</f>
        <v>#REF!</v>
      </c>
      <c r="AJ823" t="e">
        <f>IF(Y823="Yes",NA(),#REF!)</f>
        <v>#REF!</v>
      </c>
      <c r="AK823" t="e">
        <f>IF(Y823="Yes",NA(),#REF!)</f>
        <v>#REF!</v>
      </c>
    </row>
    <row r="824" spans="1:37" x14ac:dyDescent="0.35">
      <c r="A824" s="12">
        <v>824</v>
      </c>
      <c r="C824">
        <v>83</v>
      </c>
      <c r="E824" s="2">
        <v>1.5</v>
      </c>
      <c r="F824" s="2">
        <v>1.8</v>
      </c>
      <c r="G824" t="s">
        <v>63</v>
      </c>
      <c r="H824" t="s">
        <v>64</v>
      </c>
      <c r="J824" s="14">
        <f t="shared" ref="J824:J887" si="53">ROUND(AB824/PI(), 2)*10</f>
        <v>109.2</v>
      </c>
      <c r="K824">
        <v>1300</v>
      </c>
      <c r="N824" t="s">
        <v>54</v>
      </c>
      <c r="Q824" t="s">
        <v>55</v>
      </c>
      <c r="W824" t="s">
        <v>1367</v>
      </c>
      <c r="AA824">
        <f t="shared" si="50"/>
        <v>10.92</v>
      </c>
      <c r="AB824">
        <v>34.299999999999997</v>
      </c>
      <c r="AC824">
        <f t="shared" si="52"/>
        <v>9.2401308525546372E-2</v>
      </c>
      <c r="AI824" t="e">
        <f>IF(Y824="Yes",NA(),#REF!)</f>
        <v>#REF!</v>
      </c>
      <c r="AJ824" t="e">
        <f>IF(Y824="Yes",NA(),#REF!)</f>
        <v>#REF!</v>
      </c>
      <c r="AK824" t="e">
        <f>IF(Y824="Yes",NA(),#REF!)</f>
        <v>#REF!</v>
      </c>
    </row>
    <row r="825" spans="1:37" x14ac:dyDescent="0.35">
      <c r="A825" s="12">
        <v>825</v>
      </c>
      <c r="C825">
        <v>82</v>
      </c>
      <c r="E825" s="2">
        <v>9.5</v>
      </c>
      <c r="F825" s="2">
        <v>8.5</v>
      </c>
      <c r="G825" t="s">
        <v>63</v>
      </c>
      <c r="H825" t="s">
        <v>64</v>
      </c>
      <c r="J825" s="14">
        <f t="shared" si="53"/>
        <v>128.9</v>
      </c>
      <c r="K825">
        <v>1300</v>
      </c>
      <c r="N825" t="s">
        <v>54</v>
      </c>
      <c r="Q825" t="s">
        <v>55</v>
      </c>
      <c r="W825" t="s">
        <v>1368</v>
      </c>
      <c r="AA825">
        <f t="shared" si="50"/>
        <v>12.89</v>
      </c>
      <c r="AB825">
        <v>40.5</v>
      </c>
      <c r="AC825">
        <f t="shared" si="52"/>
        <v>0.12882493375126644</v>
      </c>
      <c r="AI825" t="e">
        <f>IF(Y825="Yes",NA(),#REF!)</f>
        <v>#REF!</v>
      </c>
      <c r="AJ825" t="e">
        <f>IF(Y825="Yes",NA(),#REF!)</f>
        <v>#REF!</v>
      </c>
      <c r="AK825" t="e">
        <f>IF(Y825="Yes",NA(),#REF!)</f>
        <v>#REF!</v>
      </c>
    </row>
    <row r="826" spans="1:37" x14ac:dyDescent="0.35">
      <c r="A826" s="12">
        <v>826</v>
      </c>
      <c r="B826" s="28"/>
      <c r="C826" s="28">
        <v>82</v>
      </c>
      <c r="D826" s="28"/>
      <c r="E826" s="2">
        <v>7.5</v>
      </c>
      <c r="F826" s="2">
        <v>8.5</v>
      </c>
      <c r="G826" s="28" t="s">
        <v>63</v>
      </c>
      <c r="H826" s="28" t="s">
        <v>64</v>
      </c>
      <c r="I826" s="28"/>
      <c r="J826" s="14">
        <f t="shared" si="53"/>
        <v>119</v>
      </c>
      <c r="K826" s="28">
        <v>1300</v>
      </c>
      <c r="L826" s="28"/>
      <c r="M826" s="28"/>
      <c r="N826" s="28" t="s">
        <v>54</v>
      </c>
      <c r="O826" s="28"/>
      <c r="P826" s="28"/>
      <c r="Q826" s="28">
        <v>1</v>
      </c>
      <c r="R826" s="28"/>
      <c r="S826" s="28"/>
      <c r="T826" s="28"/>
      <c r="U826" s="28"/>
      <c r="V826" s="28"/>
      <c r="W826" s="28" t="s">
        <v>1369</v>
      </c>
      <c r="X826" s="28"/>
      <c r="Y826" s="28"/>
      <c r="Z826" s="28"/>
      <c r="AA826" s="28">
        <f t="shared" si="50"/>
        <v>11.9</v>
      </c>
      <c r="AB826" s="28">
        <v>37.4</v>
      </c>
      <c r="AC826" s="28">
        <f t="shared" si="52"/>
        <v>0.10985835350338148</v>
      </c>
      <c r="AI826" t="e">
        <f>IF(Y826="Yes",NA(),#REF!)</f>
        <v>#REF!</v>
      </c>
      <c r="AJ826" t="e">
        <f>IF(Y826="Yes",NA(),#REF!)</f>
        <v>#REF!</v>
      </c>
      <c r="AK826" t="e">
        <f>IF(Y826="Yes",NA(),#REF!)</f>
        <v>#REF!</v>
      </c>
    </row>
    <row r="827" spans="1:37" x14ac:dyDescent="0.35">
      <c r="A827" s="12">
        <v>827</v>
      </c>
      <c r="C827">
        <v>82</v>
      </c>
      <c r="E827" s="2">
        <v>5</v>
      </c>
      <c r="F827" s="2">
        <v>8</v>
      </c>
      <c r="G827" t="s">
        <v>63</v>
      </c>
      <c r="H827" t="s">
        <v>64</v>
      </c>
      <c r="J827" s="14">
        <f t="shared" si="53"/>
        <v>134</v>
      </c>
      <c r="K827">
        <v>1300</v>
      </c>
      <c r="N827" t="s">
        <v>54</v>
      </c>
      <c r="Q827" t="s">
        <v>55</v>
      </c>
      <c r="W827" t="s">
        <v>1370</v>
      </c>
      <c r="AA827">
        <f t="shared" si="50"/>
        <v>13.4</v>
      </c>
      <c r="AB827">
        <v>42.1</v>
      </c>
      <c r="AC827">
        <f t="shared" si="52"/>
        <v>0.13920475587872713</v>
      </c>
      <c r="AI827" t="e">
        <f>IF(Y827="Yes",NA(),#REF!)</f>
        <v>#REF!</v>
      </c>
      <c r="AJ827" t="e">
        <f>IF(Y827="Yes",NA(),#REF!)</f>
        <v>#REF!</v>
      </c>
      <c r="AK827" t="e">
        <f>IF(Y827="Yes",NA(),#REF!)</f>
        <v>#REF!</v>
      </c>
    </row>
    <row r="828" spans="1:37" x14ac:dyDescent="0.35">
      <c r="A828" s="12">
        <v>828</v>
      </c>
      <c r="C828">
        <v>82</v>
      </c>
      <c r="E828" s="2">
        <v>1.2</v>
      </c>
      <c r="F828" s="2">
        <v>7.5</v>
      </c>
      <c r="G828" t="s">
        <v>63</v>
      </c>
      <c r="H828" t="s">
        <v>64</v>
      </c>
      <c r="J828" s="14">
        <f t="shared" si="53"/>
        <v>120</v>
      </c>
      <c r="K828">
        <v>1300</v>
      </c>
      <c r="N828" t="s">
        <v>54</v>
      </c>
      <c r="Q828" t="s">
        <v>55</v>
      </c>
      <c r="W828" t="s">
        <v>1371</v>
      </c>
      <c r="AA828">
        <f t="shared" si="50"/>
        <v>12</v>
      </c>
      <c r="AB828">
        <v>37.700000000000003</v>
      </c>
      <c r="AC828">
        <f t="shared" si="52"/>
        <v>0.11162785556551597</v>
      </c>
      <c r="AI828" t="e">
        <f>IF(Y828="Yes",NA(),#REF!)</f>
        <v>#REF!</v>
      </c>
      <c r="AJ828" t="e">
        <f>IF(Y828="Yes",NA(),#REF!)</f>
        <v>#REF!</v>
      </c>
      <c r="AK828" t="e">
        <f>IF(Y828="Yes",NA(),#REF!)</f>
        <v>#REF!</v>
      </c>
    </row>
    <row r="829" spans="1:37" x14ac:dyDescent="0.35">
      <c r="A829" s="12">
        <v>829</v>
      </c>
      <c r="C829">
        <v>82</v>
      </c>
      <c r="E829" s="2">
        <v>6</v>
      </c>
      <c r="F829" s="2">
        <v>6.5</v>
      </c>
      <c r="G829" t="s">
        <v>63</v>
      </c>
      <c r="H829" t="s">
        <v>64</v>
      </c>
      <c r="J829" s="14">
        <f t="shared" si="53"/>
        <v>134</v>
      </c>
      <c r="K829">
        <v>1300</v>
      </c>
      <c r="N829" t="s">
        <v>54</v>
      </c>
      <c r="Q829" t="s">
        <v>152</v>
      </c>
      <c r="W829" t="s">
        <v>1372</v>
      </c>
      <c r="AA829">
        <f t="shared" si="50"/>
        <v>13.4</v>
      </c>
      <c r="AB829">
        <v>42.1</v>
      </c>
      <c r="AC829">
        <f t="shared" si="52"/>
        <v>0.13920475587872713</v>
      </c>
      <c r="AI829" t="e">
        <f>IF(Y829="Yes",NA(),#REF!)</f>
        <v>#REF!</v>
      </c>
      <c r="AJ829" t="e">
        <f>IF(Y829="Yes",NA(),#REF!)</f>
        <v>#REF!</v>
      </c>
      <c r="AK829" t="e">
        <f>IF(Y829="Yes",NA(),#REF!)</f>
        <v>#REF!</v>
      </c>
    </row>
    <row r="830" spans="1:37" x14ac:dyDescent="0.35">
      <c r="A830" s="12">
        <v>830</v>
      </c>
      <c r="C830">
        <v>82</v>
      </c>
      <c r="E830" s="2">
        <v>5</v>
      </c>
      <c r="F830" s="2">
        <v>3</v>
      </c>
      <c r="G830" t="s">
        <v>63</v>
      </c>
      <c r="H830" t="s">
        <v>64</v>
      </c>
      <c r="J830" s="14">
        <f t="shared" si="53"/>
        <v>100.3</v>
      </c>
      <c r="K830">
        <v>1300</v>
      </c>
      <c r="N830" t="s">
        <v>54</v>
      </c>
      <c r="Q830" t="s">
        <v>55</v>
      </c>
      <c r="W830" t="s">
        <v>1373</v>
      </c>
      <c r="AA830">
        <f t="shared" si="50"/>
        <v>10.029999999999999</v>
      </c>
      <c r="AB830">
        <v>31.5</v>
      </c>
      <c r="AC830">
        <f t="shared" si="52"/>
        <v>7.793113276311181E-2</v>
      </c>
      <c r="AI830" t="e">
        <f>IF(Y830="Yes",NA(),#REF!)</f>
        <v>#REF!</v>
      </c>
      <c r="AJ830" t="e">
        <f>IF(Y830="Yes",NA(),#REF!)</f>
        <v>#REF!</v>
      </c>
      <c r="AK830" t="e">
        <f>IF(Y830="Yes",NA(),#REF!)</f>
        <v>#REF!</v>
      </c>
    </row>
    <row r="831" spans="1:37" x14ac:dyDescent="0.35">
      <c r="A831" s="12">
        <v>831</v>
      </c>
      <c r="C831">
        <v>82</v>
      </c>
      <c r="E831" s="2">
        <v>9</v>
      </c>
      <c r="F831" s="2">
        <v>4</v>
      </c>
      <c r="G831" t="s">
        <v>886</v>
      </c>
      <c r="H831" t="s">
        <v>1374</v>
      </c>
      <c r="J831" s="14">
        <f t="shared" si="53"/>
        <v>416</v>
      </c>
      <c r="K831">
        <v>1300</v>
      </c>
      <c r="N831" t="s">
        <v>1375</v>
      </c>
      <c r="Q831">
        <v>4</v>
      </c>
      <c r="U831">
        <v>4</v>
      </c>
      <c r="W831" t="s">
        <v>1376</v>
      </c>
      <c r="X831" t="s">
        <v>40</v>
      </c>
      <c r="Y831" t="s">
        <v>40</v>
      </c>
      <c r="AA831">
        <f t="shared" si="50"/>
        <v>41.6</v>
      </c>
      <c r="AB831">
        <v>130.69999999999999</v>
      </c>
      <c r="AC831">
        <f t="shared" si="52"/>
        <v>1.3416556272255273</v>
      </c>
      <c r="AI831" t="e">
        <f>IF(Y831="Yes",NA(),#REF!)</f>
        <v>#N/A</v>
      </c>
      <c r="AJ831" t="e">
        <f>IF(Y831="Yes",NA(),#REF!)</f>
        <v>#N/A</v>
      </c>
      <c r="AK831" t="e">
        <f>IF(Y831="Yes",NA(),#REF!)</f>
        <v>#N/A</v>
      </c>
    </row>
    <row r="832" spans="1:37" x14ac:dyDescent="0.35">
      <c r="A832" s="12">
        <v>832</v>
      </c>
      <c r="C832">
        <v>82</v>
      </c>
      <c r="E832" s="2">
        <v>9.5</v>
      </c>
      <c r="F832" s="2">
        <v>0.1</v>
      </c>
      <c r="G832" t="s">
        <v>242</v>
      </c>
      <c r="H832" t="s">
        <v>1377</v>
      </c>
      <c r="J832" s="14">
        <f t="shared" si="53"/>
        <v>601.59999999999991</v>
      </c>
      <c r="K832">
        <v>1300</v>
      </c>
      <c r="N832" t="s">
        <v>61</v>
      </c>
      <c r="Q832">
        <v>5</v>
      </c>
      <c r="U832">
        <v>3</v>
      </c>
      <c r="W832" t="s">
        <v>1378</v>
      </c>
      <c r="X832" t="s">
        <v>40</v>
      </c>
      <c r="Y832" t="s">
        <v>40</v>
      </c>
      <c r="AA832">
        <f t="shared" si="50"/>
        <v>60.16</v>
      </c>
      <c r="AB832">
        <v>189</v>
      </c>
      <c r="AC832">
        <f t="shared" si="52"/>
        <v>2.8055207794720252</v>
      </c>
      <c r="AI832" t="e">
        <f>IF(Y832="Yes",NA(),#REF!)</f>
        <v>#N/A</v>
      </c>
      <c r="AJ832" t="e">
        <f>IF(Y832="Yes",NA(),#REF!)</f>
        <v>#N/A</v>
      </c>
      <c r="AK832" t="e">
        <f>IF(Y832="Yes",NA(),#REF!)</f>
        <v>#N/A</v>
      </c>
    </row>
    <row r="833" spans="1:37" x14ac:dyDescent="0.35">
      <c r="A833" s="12">
        <v>833</v>
      </c>
      <c r="C833">
        <v>82</v>
      </c>
      <c r="E833" s="2">
        <v>9.5</v>
      </c>
      <c r="F833" s="2">
        <v>3</v>
      </c>
      <c r="G833" t="s">
        <v>63</v>
      </c>
      <c r="H833" t="s">
        <v>64</v>
      </c>
      <c r="J833" s="14">
        <f t="shared" si="53"/>
        <v>113.6</v>
      </c>
      <c r="K833">
        <v>1300</v>
      </c>
      <c r="N833" t="s">
        <v>54</v>
      </c>
      <c r="Q833" t="s">
        <v>934</v>
      </c>
      <c r="W833" t="s">
        <v>1379</v>
      </c>
      <c r="AA833">
        <f t="shared" si="50"/>
        <v>11.36</v>
      </c>
      <c r="AB833">
        <v>35.700000000000003</v>
      </c>
      <c r="AC833">
        <f t="shared" si="52"/>
        <v>0.1000982105268414</v>
      </c>
      <c r="AI833" t="e">
        <f>IF(Y833="Yes",NA(),#REF!)</f>
        <v>#REF!</v>
      </c>
      <c r="AJ833" t="e">
        <f>IF(Y833="Yes",NA(),#REF!)</f>
        <v>#REF!</v>
      </c>
      <c r="AK833" t="e">
        <f>IF(Y833="Yes",NA(),#REF!)</f>
        <v>#REF!</v>
      </c>
    </row>
    <row r="834" spans="1:37" x14ac:dyDescent="0.35">
      <c r="A834" s="12">
        <v>834</v>
      </c>
      <c r="C834">
        <v>81</v>
      </c>
      <c r="E834" s="2">
        <v>8</v>
      </c>
      <c r="F834" s="2">
        <v>8</v>
      </c>
      <c r="G834" t="s">
        <v>114</v>
      </c>
      <c r="H834" t="s">
        <v>35</v>
      </c>
      <c r="J834" s="14">
        <f t="shared" si="53"/>
        <v>149.60000000000002</v>
      </c>
      <c r="K834">
        <v>1300</v>
      </c>
      <c r="N834" t="s">
        <v>54</v>
      </c>
      <c r="Q834" t="s">
        <v>152</v>
      </c>
      <c r="U834">
        <v>4</v>
      </c>
      <c r="W834" t="s">
        <v>1380</v>
      </c>
      <c r="X834" t="s">
        <v>40</v>
      </c>
      <c r="Y834" t="s">
        <v>40</v>
      </c>
      <c r="Z834" t="s">
        <v>1381</v>
      </c>
      <c r="AA834">
        <f t="shared" si="50"/>
        <v>14.96</v>
      </c>
      <c r="AB834">
        <v>47</v>
      </c>
      <c r="AC834">
        <f t="shared" si="52"/>
        <v>0.17349445429449634</v>
      </c>
      <c r="AI834" t="e">
        <f>IF(Y834="Yes",NA(),#REF!)</f>
        <v>#N/A</v>
      </c>
      <c r="AJ834" t="e">
        <f>IF(Y834="Yes",NA(),#REF!)</f>
        <v>#N/A</v>
      </c>
      <c r="AK834" t="e">
        <f>IF(Y834="Yes",NA(),#REF!)</f>
        <v>#N/A</v>
      </c>
    </row>
    <row r="835" spans="1:37" x14ac:dyDescent="0.35">
      <c r="A835" s="12">
        <v>835</v>
      </c>
      <c r="C835">
        <v>81</v>
      </c>
      <c r="E835" s="2">
        <v>7.5</v>
      </c>
      <c r="F835" s="2">
        <v>9</v>
      </c>
      <c r="G835" t="s">
        <v>42</v>
      </c>
      <c r="H835" t="s">
        <v>1382</v>
      </c>
      <c r="J835" s="14">
        <f t="shared" si="53"/>
        <v>103.5</v>
      </c>
      <c r="K835">
        <v>1300</v>
      </c>
      <c r="N835" t="s">
        <v>54</v>
      </c>
      <c r="Q835" t="s">
        <v>55</v>
      </c>
      <c r="U835">
        <v>3</v>
      </c>
      <c r="W835" t="s">
        <v>1383</v>
      </c>
      <c r="Y835" t="s">
        <v>426</v>
      </c>
      <c r="AA835">
        <f t="shared" ref="AA835:AA898" si="54">ROUND(AB835/PI(), 2)</f>
        <v>10.35</v>
      </c>
      <c r="AB835">
        <v>32.5</v>
      </c>
      <c r="AC835">
        <f t="shared" si="52"/>
        <v>8.2957681008855463E-2</v>
      </c>
      <c r="AI835" t="e">
        <f>IF(Y835="Yes",NA(),#REF!)</f>
        <v>#N/A</v>
      </c>
      <c r="AJ835" t="e">
        <f>IF(Y835="Yes",NA(),#REF!)</f>
        <v>#N/A</v>
      </c>
      <c r="AK835" t="e">
        <f>IF(Y835="Yes",NA(),#REF!)</f>
        <v>#N/A</v>
      </c>
    </row>
    <row r="836" spans="1:37" x14ac:dyDescent="0.35">
      <c r="A836" s="12">
        <v>836</v>
      </c>
      <c r="C836">
        <v>81</v>
      </c>
      <c r="E836" s="2">
        <v>4</v>
      </c>
      <c r="F836" s="2">
        <v>4.5</v>
      </c>
      <c r="G836" t="s">
        <v>114</v>
      </c>
      <c r="H836" t="s">
        <v>35</v>
      </c>
      <c r="J836" s="14">
        <f t="shared" si="53"/>
        <v>286.2</v>
      </c>
      <c r="K836">
        <v>1300</v>
      </c>
      <c r="N836" t="s">
        <v>37</v>
      </c>
      <c r="Q836">
        <v>5</v>
      </c>
      <c r="U836">
        <v>3</v>
      </c>
      <c r="W836" t="s">
        <v>1384</v>
      </c>
      <c r="X836" t="s">
        <v>40</v>
      </c>
      <c r="Y836" t="s">
        <v>40</v>
      </c>
      <c r="AA836">
        <f t="shared" si="54"/>
        <v>28.62</v>
      </c>
      <c r="AB836">
        <v>89.9</v>
      </c>
      <c r="AC836">
        <f t="shared" si="52"/>
        <v>0.63475958105598118</v>
      </c>
      <c r="AI836" t="e">
        <f>IF(Y836="Yes",NA(),#REF!)</f>
        <v>#N/A</v>
      </c>
      <c r="AJ836" t="e">
        <f>IF(Y836="Yes",NA(),#REF!)</f>
        <v>#N/A</v>
      </c>
      <c r="AK836" t="e">
        <f>IF(Y836="Yes",NA(),#REF!)</f>
        <v>#N/A</v>
      </c>
    </row>
    <row r="837" spans="1:37" x14ac:dyDescent="0.35">
      <c r="A837" s="12">
        <v>837</v>
      </c>
      <c r="C837">
        <v>81</v>
      </c>
      <c r="E837" s="2">
        <v>2</v>
      </c>
      <c r="F837" s="2">
        <v>4</v>
      </c>
      <c r="G837" t="s">
        <v>104</v>
      </c>
      <c r="H837" t="s">
        <v>1385</v>
      </c>
      <c r="J837" s="14">
        <f t="shared" si="53"/>
        <v>106</v>
      </c>
      <c r="K837">
        <v>1300</v>
      </c>
      <c r="N837" t="s">
        <v>945</v>
      </c>
      <c r="Q837" t="s">
        <v>934</v>
      </c>
      <c r="R837">
        <v>0</v>
      </c>
      <c r="U837">
        <v>3</v>
      </c>
      <c r="W837" t="s">
        <v>1386</v>
      </c>
      <c r="Y837" t="s">
        <v>426</v>
      </c>
      <c r="AA837">
        <f t="shared" si="54"/>
        <v>10.6</v>
      </c>
      <c r="AB837">
        <v>33.299999999999997</v>
      </c>
      <c r="AC837">
        <f t="shared" si="52"/>
        <v>8.7092016940979636E-2</v>
      </c>
      <c r="AI837" t="e">
        <f>IF(Y837="Yes",NA(),#REF!)</f>
        <v>#N/A</v>
      </c>
      <c r="AJ837" t="e">
        <f>IF(Y837="Yes",NA(),#REF!)</f>
        <v>#N/A</v>
      </c>
      <c r="AK837" t="e">
        <f>IF(Y837="Yes",NA(),#REF!)</f>
        <v>#N/A</v>
      </c>
    </row>
    <row r="838" spans="1:37" x14ac:dyDescent="0.35">
      <c r="A838" s="12">
        <v>838</v>
      </c>
      <c r="C838">
        <v>81</v>
      </c>
      <c r="E838" s="2">
        <v>0.1</v>
      </c>
      <c r="F838" s="2">
        <v>0.3</v>
      </c>
      <c r="G838" t="s">
        <v>114</v>
      </c>
      <c r="H838" t="s">
        <v>35</v>
      </c>
      <c r="J838" s="14">
        <f t="shared" si="53"/>
        <v>336.1</v>
      </c>
      <c r="K838">
        <v>1300</v>
      </c>
      <c r="N838" t="s">
        <v>37</v>
      </c>
      <c r="Q838">
        <v>4</v>
      </c>
      <c r="W838" t="s">
        <v>1387</v>
      </c>
      <c r="X838" t="s">
        <v>40</v>
      </c>
      <c r="Y838" t="s">
        <v>40</v>
      </c>
      <c r="AA838">
        <f t="shared" si="54"/>
        <v>33.61</v>
      </c>
      <c r="AB838">
        <v>105.6</v>
      </c>
      <c r="AC838">
        <f t="shared" si="52"/>
        <v>0.87582576633837694</v>
      </c>
      <c r="AI838" t="e">
        <f>IF(Y838="Yes",NA(),#REF!)</f>
        <v>#N/A</v>
      </c>
      <c r="AJ838" t="e">
        <f>IF(Y838="Yes",NA(),#REF!)</f>
        <v>#N/A</v>
      </c>
      <c r="AK838" t="e">
        <f>IF(Y838="Yes",NA(),#REF!)</f>
        <v>#N/A</v>
      </c>
    </row>
    <row r="839" spans="1:37" x14ac:dyDescent="0.35">
      <c r="A839" s="12">
        <v>839</v>
      </c>
      <c r="C839">
        <v>81</v>
      </c>
      <c r="E839" s="23">
        <v>5</v>
      </c>
      <c r="F839" s="23">
        <v>5</v>
      </c>
      <c r="G839" t="s">
        <v>59</v>
      </c>
      <c r="H839" t="s">
        <v>710</v>
      </c>
      <c r="J839" s="14">
        <f t="shared" si="53"/>
        <v>199.3</v>
      </c>
      <c r="K839">
        <v>1870</v>
      </c>
      <c r="N839" t="s">
        <v>54</v>
      </c>
      <c r="Q839">
        <v>4</v>
      </c>
      <c r="R839">
        <v>2</v>
      </c>
      <c r="U839">
        <v>3</v>
      </c>
      <c r="W839" t="s">
        <v>1388</v>
      </c>
      <c r="X839" t="s">
        <v>40</v>
      </c>
      <c r="Y839" t="s">
        <v>40</v>
      </c>
      <c r="AA839">
        <f t="shared" si="54"/>
        <v>19.93</v>
      </c>
      <c r="AB839" s="26">
        <v>62.6</v>
      </c>
      <c r="AI839" t="e">
        <f>IF(Y839="Yes",NA(),#REF!)</f>
        <v>#N/A</v>
      </c>
      <c r="AJ839" t="e">
        <f>IF(Y839="Yes",NA(),#REF!)</f>
        <v>#N/A</v>
      </c>
      <c r="AK839" t="e">
        <f>IF(Y839="Yes",NA(),#REF!)</f>
        <v>#N/A</v>
      </c>
    </row>
    <row r="840" spans="1:37" x14ac:dyDescent="0.35">
      <c r="A840" s="12">
        <v>840</v>
      </c>
      <c r="C840">
        <v>81</v>
      </c>
      <c r="E840" s="2">
        <v>8.5</v>
      </c>
      <c r="F840" s="2">
        <v>3.5</v>
      </c>
      <c r="G840" t="s">
        <v>76</v>
      </c>
      <c r="H840" t="s">
        <v>732</v>
      </c>
      <c r="J840" s="14">
        <f t="shared" si="53"/>
        <v>190.3</v>
      </c>
      <c r="K840">
        <v>1300</v>
      </c>
      <c r="N840" t="s">
        <v>61</v>
      </c>
      <c r="Q840" t="s">
        <v>38</v>
      </c>
      <c r="U840">
        <v>4</v>
      </c>
      <c r="W840" t="s">
        <v>1389</v>
      </c>
      <c r="X840" t="s">
        <v>40</v>
      </c>
      <c r="Y840" t="s">
        <v>40</v>
      </c>
      <c r="AA840">
        <f t="shared" si="54"/>
        <v>19.03</v>
      </c>
      <c r="AB840">
        <v>59.8</v>
      </c>
      <c r="AC840">
        <f t="shared" ref="AC840:AC871" si="55">PI()*(AB840/2)*(AB840/2)/10000</f>
        <v>0.28086152482358107</v>
      </c>
      <c r="AI840" t="e">
        <f>IF(Y840="Yes",NA(),#REF!)</f>
        <v>#N/A</v>
      </c>
      <c r="AJ840" t="e">
        <f>IF(Y840="Yes",NA(),#REF!)</f>
        <v>#N/A</v>
      </c>
      <c r="AK840" t="e">
        <f>IF(Y840="Yes",NA(),#REF!)</f>
        <v>#N/A</v>
      </c>
    </row>
    <row r="841" spans="1:37" x14ac:dyDescent="0.35">
      <c r="A841" s="12">
        <v>841</v>
      </c>
      <c r="C841">
        <v>81</v>
      </c>
      <c r="E841" s="2">
        <v>8.6999999999999993</v>
      </c>
      <c r="F841" s="2">
        <v>3.5</v>
      </c>
      <c r="G841" t="s">
        <v>137</v>
      </c>
      <c r="H841" t="s">
        <v>138</v>
      </c>
      <c r="J841" s="14">
        <f t="shared" si="53"/>
        <v>111.4</v>
      </c>
      <c r="K841">
        <v>1300</v>
      </c>
      <c r="N841" t="s">
        <v>54</v>
      </c>
      <c r="Q841" t="s">
        <v>55</v>
      </c>
      <c r="U841">
        <v>3</v>
      </c>
      <c r="W841" t="s">
        <v>1390</v>
      </c>
      <c r="X841" t="s">
        <v>40</v>
      </c>
      <c r="Y841" t="s">
        <v>40</v>
      </c>
      <c r="AA841">
        <f t="shared" si="54"/>
        <v>11.14</v>
      </c>
      <c r="AB841">
        <v>35</v>
      </c>
      <c r="AC841">
        <f t="shared" si="55"/>
        <v>9.6211275016187411E-2</v>
      </c>
      <c r="AI841" t="e">
        <f>IF(Y841="Yes",NA(),#REF!)</f>
        <v>#N/A</v>
      </c>
      <c r="AJ841" t="e">
        <f>IF(Y841="Yes",NA(),#REF!)</f>
        <v>#N/A</v>
      </c>
      <c r="AK841" t="e">
        <f>IF(Y841="Yes",NA(),#REF!)</f>
        <v>#N/A</v>
      </c>
    </row>
    <row r="842" spans="1:37" x14ac:dyDescent="0.35">
      <c r="A842" s="12">
        <v>842</v>
      </c>
      <c r="C842">
        <v>81</v>
      </c>
      <c r="E842" s="2">
        <v>5</v>
      </c>
      <c r="F842" s="2">
        <v>9.5</v>
      </c>
      <c r="G842" t="s">
        <v>63</v>
      </c>
      <c r="H842" t="s">
        <v>64</v>
      </c>
      <c r="J842" s="14">
        <f t="shared" si="53"/>
        <v>113.6</v>
      </c>
      <c r="K842">
        <v>1300</v>
      </c>
      <c r="N842" t="s">
        <v>54</v>
      </c>
      <c r="Q842">
        <v>1</v>
      </c>
      <c r="W842" t="s">
        <v>1391</v>
      </c>
      <c r="AA842">
        <f t="shared" si="54"/>
        <v>11.36</v>
      </c>
      <c r="AB842">
        <v>35.700000000000003</v>
      </c>
      <c r="AC842">
        <f t="shared" si="55"/>
        <v>0.1000982105268414</v>
      </c>
      <c r="AI842" t="e">
        <f>IF(Y842="Yes",NA(),#REF!)</f>
        <v>#REF!</v>
      </c>
      <c r="AJ842" t="e">
        <f>IF(Y842="Yes",NA(),#REF!)</f>
        <v>#REF!</v>
      </c>
      <c r="AK842" t="e">
        <f>IF(Y842="Yes",NA(),#REF!)</f>
        <v>#REF!</v>
      </c>
    </row>
    <row r="843" spans="1:37" x14ac:dyDescent="0.35">
      <c r="A843" s="12">
        <v>843</v>
      </c>
      <c r="C843">
        <v>100</v>
      </c>
      <c r="E843" s="2">
        <v>1.5</v>
      </c>
      <c r="F843" s="2">
        <v>2</v>
      </c>
      <c r="G843" t="s">
        <v>63</v>
      </c>
      <c r="H843" t="s">
        <v>64</v>
      </c>
      <c r="J843" s="14">
        <f t="shared" si="53"/>
        <v>107</v>
      </c>
      <c r="K843">
        <v>1300</v>
      </c>
      <c r="N843" t="s">
        <v>54</v>
      </c>
      <c r="Q843" t="s">
        <v>55</v>
      </c>
      <c r="W843" t="s">
        <v>1392</v>
      </c>
      <c r="AA843">
        <f t="shared" si="54"/>
        <v>10.7</v>
      </c>
      <c r="AB843">
        <v>33.6</v>
      </c>
      <c r="AC843">
        <f t="shared" si="55"/>
        <v>8.866831105491832E-2</v>
      </c>
      <c r="AI843" t="e">
        <f>IF(Y843="Yes",NA(),#REF!)</f>
        <v>#REF!</v>
      </c>
      <c r="AJ843" t="e">
        <f>IF(Y843="Yes",NA(),#REF!)</f>
        <v>#REF!</v>
      </c>
      <c r="AK843" t="e">
        <f>IF(Y843="Yes",NA(),#REF!)</f>
        <v>#REF!</v>
      </c>
    </row>
    <row r="844" spans="1:37" x14ac:dyDescent="0.35">
      <c r="A844" s="12">
        <v>844</v>
      </c>
      <c r="C844">
        <v>100</v>
      </c>
      <c r="E844" s="2">
        <v>4</v>
      </c>
      <c r="F844" s="2">
        <v>0.7</v>
      </c>
      <c r="G844" t="s">
        <v>114</v>
      </c>
      <c r="H844" t="s">
        <v>35</v>
      </c>
      <c r="J844" s="14">
        <f t="shared" si="53"/>
        <v>313.5</v>
      </c>
      <c r="K844">
        <v>1300</v>
      </c>
      <c r="N844" t="s">
        <v>54</v>
      </c>
      <c r="Q844">
        <v>5</v>
      </c>
      <c r="W844" t="s">
        <v>1393</v>
      </c>
      <c r="X844" t="s">
        <v>40</v>
      </c>
      <c r="Y844" t="s">
        <v>40</v>
      </c>
      <c r="AA844">
        <f t="shared" si="54"/>
        <v>31.35</v>
      </c>
      <c r="AB844">
        <v>98.5</v>
      </c>
      <c r="AC844">
        <f t="shared" si="55"/>
        <v>0.76201293308228912</v>
      </c>
      <c r="AI844" t="e">
        <f>IF(Y844="Yes",NA(),#REF!)</f>
        <v>#N/A</v>
      </c>
      <c r="AJ844" t="e">
        <f>IF(Y844="Yes",NA(),#REF!)</f>
        <v>#N/A</v>
      </c>
      <c r="AK844" t="e">
        <f>IF(Y844="Yes",NA(),#REF!)</f>
        <v>#N/A</v>
      </c>
    </row>
    <row r="845" spans="1:37" x14ac:dyDescent="0.35">
      <c r="A845" s="12">
        <v>845</v>
      </c>
      <c r="C845">
        <v>100</v>
      </c>
      <c r="E845" s="2">
        <v>5</v>
      </c>
      <c r="F845" s="2">
        <v>4.5</v>
      </c>
      <c r="G845" t="s">
        <v>114</v>
      </c>
      <c r="H845" t="s">
        <v>35</v>
      </c>
      <c r="J845" s="14">
        <f t="shared" si="53"/>
        <v>159.80000000000001</v>
      </c>
      <c r="K845">
        <v>1300</v>
      </c>
      <c r="N845" t="s">
        <v>54</v>
      </c>
      <c r="Q845" t="s">
        <v>38</v>
      </c>
      <c r="W845" t="s">
        <v>1394</v>
      </c>
      <c r="AA845">
        <f t="shared" si="54"/>
        <v>15.98</v>
      </c>
      <c r="AB845">
        <v>50.2</v>
      </c>
      <c r="AC845">
        <f t="shared" si="55"/>
        <v>0.19792347876881058</v>
      </c>
      <c r="AI845" t="e">
        <f>IF(Y845="Yes",NA(),#REF!)</f>
        <v>#REF!</v>
      </c>
      <c r="AJ845" t="e">
        <f>IF(Y845="Yes",NA(),#REF!)</f>
        <v>#REF!</v>
      </c>
      <c r="AK845" t="e">
        <f>IF(Y845="Yes",NA(),#REF!)</f>
        <v>#REF!</v>
      </c>
    </row>
    <row r="846" spans="1:37" x14ac:dyDescent="0.35">
      <c r="A846" s="12">
        <v>846</v>
      </c>
      <c r="C846">
        <v>100</v>
      </c>
      <c r="E846" s="2">
        <v>6.5</v>
      </c>
      <c r="F846" s="2">
        <v>2</v>
      </c>
      <c r="G846" t="s">
        <v>114</v>
      </c>
      <c r="H846" t="s">
        <v>35</v>
      </c>
      <c r="J846" s="14">
        <f t="shared" si="53"/>
        <v>416.70000000000005</v>
      </c>
      <c r="K846">
        <v>1300</v>
      </c>
      <c r="N846" t="s">
        <v>37</v>
      </c>
      <c r="Q846">
        <v>5</v>
      </c>
      <c r="U846">
        <v>3</v>
      </c>
      <c r="W846" t="s">
        <v>1395</v>
      </c>
      <c r="X846" t="s">
        <v>40</v>
      </c>
      <c r="Y846" t="s">
        <v>40</v>
      </c>
      <c r="Z846" t="s">
        <v>1396</v>
      </c>
      <c r="AA846">
        <f t="shared" si="54"/>
        <v>41.67</v>
      </c>
      <c r="AB846">
        <v>130.9</v>
      </c>
      <c r="AC846">
        <f t="shared" si="55"/>
        <v>1.3457648304164234</v>
      </c>
      <c r="AI846" t="e">
        <f>IF(Y846="Yes",NA(),#REF!)</f>
        <v>#N/A</v>
      </c>
      <c r="AJ846" t="e">
        <f>IF(Y846="Yes",NA(),#REF!)</f>
        <v>#N/A</v>
      </c>
      <c r="AK846" t="e">
        <f>IF(Y846="Yes",NA(),#REF!)</f>
        <v>#N/A</v>
      </c>
    </row>
    <row r="847" spans="1:37" x14ac:dyDescent="0.35">
      <c r="A847" s="12">
        <v>847</v>
      </c>
      <c r="C847">
        <v>100</v>
      </c>
      <c r="E847" s="2">
        <v>8.5</v>
      </c>
      <c r="F847" s="2">
        <v>1</v>
      </c>
      <c r="G847" t="s">
        <v>59</v>
      </c>
      <c r="H847" t="s">
        <v>234</v>
      </c>
      <c r="J847" s="14">
        <f t="shared" si="53"/>
        <v>128.6</v>
      </c>
      <c r="K847">
        <v>1300</v>
      </c>
      <c r="N847" t="s">
        <v>61</v>
      </c>
      <c r="Q847" t="s">
        <v>55</v>
      </c>
      <c r="U847">
        <v>2</v>
      </c>
      <c r="W847" t="s">
        <v>1397</v>
      </c>
      <c r="X847" t="s">
        <v>40</v>
      </c>
      <c r="Y847" t="s">
        <v>40</v>
      </c>
      <c r="AA847">
        <f t="shared" si="54"/>
        <v>12.86</v>
      </c>
      <c r="AB847">
        <v>40.4</v>
      </c>
      <c r="AC847">
        <f t="shared" si="55"/>
        <v>0.12818954663707791</v>
      </c>
      <c r="AI847" t="e">
        <f>IF(Y847="Yes",NA(),#REF!)</f>
        <v>#N/A</v>
      </c>
      <c r="AJ847" t="e">
        <f>IF(Y847="Yes",NA(),#REF!)</f>
        <v>#N/A</v>
      </c>
      <c r="AK847" t="e">
        <f>IF(Y847="Yes",NA(),#REF!)</f>
        <v>#N/A</v>
      </c>
    </row>
    <row r="848" spans="1:37" x14ac:dyDescent="0.35">
      <c r="A848" s="12">
        <v>848</v>
      </c>
      <c r="C848">
        <v>100</v>
      </c>
      <c r="E848" s="2">
        <v>9</v>
      </c>
      <c r="F848" s="2">
        <v>1.2</v>
      </c>
      <c r="G848" t="s">
        <v>63</v>
      </c>
      <c r="H848" t="s">
        <v>64</v>
      </c>
      <c r="J848" s="14">
        <f t="shared" si="53"/>
        <v>140.1</v>
      </c>
      <c r="K848">
        <v>1300</v>
      </c>
      <c r="N848" t="s">
        <v>54</v>
      </c>
      <c r="Q848" t="s">
        <v>38</v>
      </c>
      <c r="W848" t="s">
        <v>1398</v>
      </c>
      <c r="AA848">
        <f t="shared" si="54"/>
        <v>14.01</v>
      </c>
      <c r="AB848">
        <v>44</v>
      </c>
      <c r="AC848">
        <f t="shared" si="55"/>
        <v>0.15205308443374596</v>
      </c>
      <c r="AI848" t="e">
        <f>IF(Y848="Yes",NA(),#REF!)</f>
        <v>#REF!</v>
      </c>
      <c r="AJ848" t="e">
        <f>IF(Y848="Yes",NA(),#REF!)</f>
        <v>#REF!</v>
      </c>
      <c r="AK848" t="e">
        <f>IF(Y848="Yes",NA(),#REF!)</f>
        <v>#REF!</v>
      </c>
    </row>
    <row r="849" spans="1:37" x14ac:dyDescent="0.35">
      <c r="A849" s="12">
        <v>849</v>
      </c>
      <c r="C849">
        <v>100</v>
      </c>
      <c r="E849" s="2">
        <v>8.5</v>
      </c>
      <c r="F849" s="2">
        <v>8.5</v>
      </c>
      <c r="G849" t="s">
        <v>42</v>
      </c>
      <c r="H849" t="s">
        <v>1399</v>
      </c>
      <c r="J849" s="14">
        <f t="shared" si="53"/>
        <v>156</v>
      </c>
      <c r="K849">
        <v>1300</v>
      </c>
      <c r="N849" t="s">
        <v>54</v>
      </c>
      <c r="Q849">
        <v>1</v>
      </c>
      <c r="U849">
        <v>2</v>
      </c>
      <c r="W849" t="s">
        <v>1400</v>
      </c>
      <c r="X849" t="s">
        <v>40</v>
      </c>
      <c r="Y849" t="s">
        <v>40</v>
      </c>
      <c r="Z849" t="s">
        <v>1401</v>
      </c>
      <c r="AA849">
        <f t="shared" si="54"/>
        <v>15.6</v>
      </c>
      <c r="AB849" s="26">
        <v>49</v>
      </c>
      <c r="AC849">
        <f t="shared" si="55"/>
        <v>0.18857409903172731</v>
      </c>
      <c r="AI849" t="e">
        <f>IF(Y849="Yes",NA(),#REF!)</f>
        <v>#N/A</v>
      </c>
      <c r="AJ849" t="e">
        <f>IF(Y849="Yes",NA(),#REF!)</f>
        <v>#N/A</v>
      </c>
      <c r="AK849" t="e">
        <f>IF(Y849="Yes",NA(),#REF!)</f>
        <v>#N/A</v>
      </c>
    </row>
    <row r="850" spans="1:37" x14ac:dyDescent="0.35">
      <c r="A850" s="12">
        <v>850</v>
      </c>
      <c r="C850">
        <v>100</v>
      </c>
      <c r="E850" s="2">
        <v>9.9</v>
      </c>
      <c r="F850" s="2">
        <v>9.9</v>
      </c>
      <c r="G850" t="s">
        <v>66</v>
      </c>
      <c r="H850" t="s">
        <v>573</v>
      </c>
      <c r="J850" s="14">
        <f t="shared" si="53"/>
        <v>186.8</v>
      </c>
      <c r="K850">
        <v>1300</v>
      </c>
      <c r="N850" t="s">
        <v>54</v>
      </c>
      <c r="Q850" t="s">
        <v>38</v>
      </c>
      <c r="U850">
        <v>3</v>
      </c>
      <c r="W850" t="s">
        <v>1402</v>
      </c>
      <c r="X850" t="s">
        <v>40</v>
      </c>
      <c r="Y850" t="s">
        <v>40</v>
      </c>
      <c r="AA850">
        <f t="shared" si="54"/>
        <v>18.68</v>
      </c>
      <c r="AB850">
        <v>58.7</v>
      </c>
      <c r="AC850">
        <f t="shared" si="55"/>
        <v>0.27062385976369535</v>
      </c>
      <c r="AI850" t="e">
        <f>IF(Y850="Yes",NA(),#REF!)</f>
        <v>#N/A</v>
      </c>
      <c r="AJ850" t="e">
        <f>IF(Y850="Yes",NA(),#REF!)</f>
        <v>#N/A</v>
      </c>
      <c r="AK850" t="e">
        <f>IF(Y850="Yes",NA(),#REF!)</f>
        <v>#N/A</v>
      </c>
    </row>
    <row r="851" spans="1:37" x14ac:dyDescent="0.35">
      <c r="A851" s="12">
        <v>851</v>
      </c>
      <c r="C851">
        <v>100</v>
      </c>
      <c r="E851" s="2">
        <v>8</v>
      </c>
      <c r="F851" s="2">
        <v>9.9</v>
      </c>
      <c r="G851" t="s">
        <v>47</v>
      </c>
      <c r="H851" t="s">
        <v>35</v>
      </c>
      <c r="J851" s="14">
        <f t="shared" si="53"/>
        <v>588.9</v>
      </c>
      <c r="K851">
        <v>1300</v>
      </c>
      <c r="N851" t="s">
        <v>1375</v>
      </c>
      <c r="Q851">
        <v>5</v>
      </c>
      <c r="U851">
        <v>3</v>
      </c>
      <c r="W851" t="s">
        <v>1403</v>
      </c>
      <c r="X851" t="s">
        <v>40</v>
      </c>
      <c r="Y851" t="s">
        <v>40</v>
      </c>
      <c r="AA851">
        <f t="shared" si="54"/>
        <v>58.89</v>
      </c>
      <c r="AB851">
        <v>185</v>
      </c>
      <c r="AC851">
        <f t="shared" si="55"/>
        <v>2.6880252142277667</v>
      </c>
      <c r="AI851" t="e">
        <f>IF(Y851="Yes",NA(),#REF!)</f>
        <v>#N/A</v>
      </c>
      <c r="AJ851" t="e">
        <f>IF(Y851="Yes",NA(),#REF!)</f>
        <v>#N/A</v>
      </c>
      <c r="AK851" t="e">
        <f>IF(Y851="Yes",NA(),#REF!)</f>
        <v>#N/A</v>
      </c>
    </row>
    <row r="852" spans="1:37" x14ac:dyDescent="0.35">
      <c r="A852" s="12">
        <v>852</v>
      </c>
      <c r="C852">
        <v>100</v>
      </c>
      <c r="E852" s="2">
        <v>8</v>
      </c>
      <c r="F852" s="2">
        <v>8</v>
      </c>
      <c r="G852" t="s">
        <v>114</v>
      </c>
      <c r="H852" t="s">
        <v>35</v>
      </c>
      <c r="J852" s="14">
        <f t="shared" si="53"/>
        <v>187.2</v>
      </c>
      <c r="K852">
        <v>1300</v>
      </c>
      <c r="N852" t="s">
        <v>61</v>
      </c>
      <c r="Q852" t="s">
        <v>934</v>
      </c>
      <c r="W852" t="s">
        <v>1404</v>
      </c>
      <c r="AA852">
        <f t="shared" si="54"/>
        <v>18.72</v>
      </c>
      <c r="AB852">
        <v>58.8</v>
      </c>
      <c r="AC852">
        <f t="shared" si="55"/>
        <v>0.27154670260568731</v>
      </c>
      <c r="AI852" t="e">
        <f>IF(Y852="Yes",NA(),#REF!)</f>
        <v>#REF!</v>
      </c>
      <c r="AJ852" t="e">
        <f>IF(Y852="Yes",NA(),#REF!)</f>
        <v>#REF!</v>
      </c>
      <c r="AK852" t="e">
        <f>IF(Y852="Yes",NA(),#REF!)</f>
        <v>#REF!</v>
      </c>
    </row>
    <row r="853" spans="1:37" x14ac:dyDescent="0.35">
      <c r="A853" s="12">
        <v>853</v>
      </c>
      <c r="C853">
        <v>100</v>
      </c>
      <c r="E853" s="2">
        <v>5</v>
      </c>
      <c r="F853" s="2">
        <v>9</v>
      </c>
      <c r="G853" t="s">
        <v>114</v>
      </c>
      <c r="H853" t="s">
        <v>35</v>
      </c>
      <c r="J853" s="14">
        <f t="shared" si="53"/>
        <v>144.5</v>
      </c>
      <c r="K853">
        <v>1300</v>
      </c>
      <c r="N853" t="s">
        <v>61</v>
      </c>
      <c r="Q853" t="s">
        <v>934</v>
      </c>
      <c r="U853">
        <v>3</v>
      </c>
      <c r="W853" t="s">
        <v>1405</v>
      </c>
      <c r="Y853" t="s">
        <v>426</v>
      </c>
      <c r="AA853">
        <f t="shared" si="54"/>
        <v>14.45</v>
      </c>
      <c r="AB853">
        <v>45.4</v>
      </c>
      <c r="AC853">
        <f t="shared" si="55"/>
        <v>0.16188312784682843</v>
      </c>
      <c r="AI853" t="e">
        <f>IF(Y853="Yes",NA(),#REF!)</f>
        <v>#N/A</v>
      </c>
      <c r="AJ853" t="e">
        <f>IF(Y853="Yes",NA(),#REF!)</f>
        <v>#N/A</v>
      </c>
      <c r="AK853" t="e">
        <f>IF(Y853="Yes",NA(),#REF!)</f>
        <v>#N/A</v>
      </c>
    </row>
    <row r="854" spans="1:37" x14ac:dyDescent="0.35">
      <c r="A854" s="12">
        <v>854</v>
      </c>
      <c r="C854">
        <v>100</v>
      </c>
      <c r="E854" s="2">
        <v>4.5</v>
      </c>
      <c r="F854" s="2">
        <v>7.5</v>
      </c>
      <c r="G854" t="s">
        <v>231</v>
      </c>
      <c r="H854" t="s">
        <v>1406</v>
      </c>
      <c r="I854" t="s">
        <v>1407</v>
      </c>
      <c r="J854" s="14">
        <f t="shared" si="53"/>
        <v>176.70000000000002</v>
      </c>
      <c r="K854">
        <v>1300</v>
      </c>
      <c r="N854" t="s">
        <v>54</v>
      </c>
      <c r="Q854" t="s">
        <v>38</v>
      </c>
      <c r="U854">
        <v>5</v>
      </c>
      <c r="W854" t="s">
        <v>1408</v>
      </c>
      <c r="X854" t="s">
        <v>40</v>
      </c>
      <c r="Y854" t="s">
        <v>40</v>
      </c>
      <c r="AA854">
        <f t="shared" si="54"/>
        <v>17.670000000000002</v>
      </c>
      <c r="AB854">
        <v>55.5</v>
      </c>
      <c r="AC854">
        <f t="shared" si="55"/>
        <v>0.24192226928049901</v>
      </c>
      <c r="AI854" t="e">
        <f>IF(Y854="Yes",NA(),#REF!)</f>
        <v>#N/A</v>
      </c>
      <c r="AJ854" t="e">
        <f>IF(Y854="Yes",NA(),#REF!)</f>
        <v>#N/A</v>
      </c>
      <c r="AK854" t="e">
        <f>IF(Y854="Yes",NA(),#REF!)</f>
        <v>#N/A</v>
      </c>
    </row>
    <row r="855" spans="1:37" x14ac:dyDescent="0.35">
      <c r="A855" s="12">
        <v>855</v>
      </c>
      <c r="C855">
        <v>99</v>
      </c>
      <c r="E855" s="2">
        <v>5</v>
      </c>
      <c r="F855" s="2">
        <v>0.3</v>
      </c>
      <c r="G855" t="s">
        <v>114</v>
      </c>
      <c r="H855" t="s">
        <v>35</v>
      </c>
      <c r="J855" s="14">
        <f t="shared" si="53"/>
        <v>120.3</v>
      </c>
      <c r="K855">
        <v>1300</v>
      </c>
      <c r="N855" t="s">
        <v>54</v>
      </c>
      <c r="Q855" t="s">
        <v>55</v>
      </c>
      <c r="W855" t="s">
        <v>1409</v>
      </c>
      <c r="AA855">
        <f t="shared" si="54"/>
        <v>12.03</v>
      </c>
      <c r="AB855">
        <v>37.799999999999997</v>
      </c>
      <c r="AC855">
        <f t="shared" si="55"/>
        <v>0.11222083117888099</v>
      </c>
      <c r="AI855" t="e">
        <f>IF(Y855="Yes",NA(),#REF!)</f>
        <v>#REF!</v>
      </c>
      <c r="AJ855" t="e">
        <f>IF(Y855="Yes",NA(),#REF!)</f>
        <v>#REF!</v>
      </c>
      <c r="AK855" t="e">
        <f>IF(Y855="Yes",NA(),#REF!)</f>
        <v>#REF!</v>
      </c>
    </row>
    <row r="856" spans="1:37" x14ac:dyDescent="0.35">
      <c r="A856" s="12">
        <v>856</v>
      </c>
      <c r="C856">
        <v>99</v>
      </c>
      <c r="E856" s="2">
        <v>6</v>
      </c>
      <c r="F856" s="2">
        <v>2</v>
      </c>
      <c r="G856" t="s">
        <v>63</v>
      </c>
      <c r="H856" t="s">
        <v>64</v>
      </c>
      <c r="J856" s="14">
        <f t="shared" si="53"/>
        <v>125.1</v>
      </c>
      <c r="K856">
        <v>1300</v>
      </c>
      <c r="N856" t="s">
        <v>54</v>
      </c>
      <c r="Q856" t="s">
        <v>152</v>
      </c>
      <c r="W856" t="s">
        <v>1410</v>
      </c>
      <c r="AA856">
        <f t="shared" si="54"/>
        <v>12.51</v>
      </c>
      <c r="AB856">
        <v>39.299999999999997</v>
      </c>
      <c r="AC856">
        <f t="shared" si="55"/>
        <v>0.12130396093857246</v>
      </c>
      <c r="AI856" t="e">
        <f>IF(Y856="Yes",NA(),#REF!)</f>
        <v>#REF!</v>
      </c>
      <c r="AJ856" t="e">
        <f>IF(Y856="Yes",NA(),#REF!)</f>
        <v>#REF!</v>
      </c>
      <c r="AK856" t="e">
        <f>IF(Y856="Yes",NA(),#REF!)</f>
        <v>#REF!</v>
      </c>
    </row>
    <row r="857" spans="1:37" x14ac:dyDescent="0.35">
      <c r="A857" s="12">
        <v>857</v>
      </c>
      <c r="C857">
        <v>99</v>
      </c>
      <c r="E857" s="2">
        <v>9</v>
      </c>
      <c r="F857" s="2">
        <v>2.5</v>
      </c>
      <c r="G857" t="s">
        <v>114</v>
      </c>
      <c r="H857" t="s">
        <v>35</v>
      </c>
      <c r="J857" s="14">
        <f t="shared" si="53"/>
        <v>121.30000000000001</v>
      </c>
      <c r="K857">
        <v>1300</v>
      </c>
      <c r="N857" t="s">
        <v>54</v>
      </c>
      <c r="Q857">
        <v>1</v>
      </c>
      <c r="U857">
        <v>3</v>
      </c>
      <c r="W857" t="s">
        <v>1411</v>
      </c>
      <c r="Y857" t="s">
        <v>426</v>
      </c>
      <c r="AA857">
        <f t="shared" si="54"/>
        <v>12.13</v>
      </c>
      <c r="AB857">
        <v>38.1</v>
      </c>
      <c r="AC857">
        <f t="shared" si="55"/>
        <v>0.11400918279693702</v>
      </c>
      <c r="AI857" t="e">
        <f>IF(Y857="Yes",NA(),#REF!)</f>
        <v>#N/A</v>
      </c>
      <c r="AJ857" t="e">
        <f>IF(Y857="Yes",NA(),#REF!)</f>
        <v>#N/A</v>
      </c>
      <c r="AK857" t="e">
        <f>IF(Y857="Yes",NA(),#REF!)</f>
        <v>#N/A</v>
      </c>
    </row>
    <row r="858" spans="1:37" x14ac:dyDescent="0.35">
      <c r="A858" s="12">
        <v>858</v>
      </c>
      <c r="C858">
        <v>99</v>
      </c>
      <c r="E858" s="2">
        <v>5</v>
      </c>
      <c r="F858" s="2">
        <v>4</v>
      </c>
      <c r="G858" t="s">
        <v>47</v>
      </c>
      <c r="H858" t="s">
        <v>216</v>
      </c>
      <c r="I858" t="s">
        <v>515</v>
      </c>
      <c r="J858" s="14">
        <f t="shared" si="53"/>
        <v>157.6</v>
      </c>
      <c r="K858">
        <v>1300</v>
      </c>
      <c r="N858" t="s">
        <v>54</v>
      </c>
      <c r="Q858">
        <v>4</v>
      </c>
      <c r="U858">
        <v>3</v>
      </c>
      <c r="W858" t="s">
        <v>1412</v>
      </c>
      <c r="Y858" t="s">
        <v>426</v>
      </c>
      <c r="AA858">
        <f t="shared" si="54"/>
        <v>15.76</v>
      </c>
      <c r="AB858" s="26">
        <v>49.5</v>
      </c>
      <c r="AC858">
        <f t="shared" si="55"/>
        <v>0.19244218498645979</v>
      </c>
      <c r="AI858" t="e">
        <f>IF(Y858="Yes",NA(),#REF!)</f>
        <v>#N/A</v>
      </c>
      <c r="AJ858" t="e">
        <f>IF(Y858="Yes",NA(),#REF!)</f>
        <v>#N/A</v>
      </c>
      <c r="AK858" t="e">
        <f>IF(Y858="Yes",NA(),#REF!)</f>
        <v>#N/A</v>
      </c>
    </row>
    <row r="859" spans="1:37" x14ac:dyDescent="0.35">
      <c r="A859" s="12">
        <v>859</v>
      </c>
      <c r="C859">
        <v>99</v>
      </c>
      <c r="E859" s="2">
        <v>5</v>
      </c>
      <c r="F859" s="2">
        <v>4.5</v>
      </c>
      <c r="G859" t="s">
        <v>70</v>
      </c>
      <c r="H859" t="s">
        <v>161</v>
      </c>
      <c r="J859" s="14">
        <f t="shared" si="53"/>
        <v>174.1</v>
      </c>
      <c r="K859">
        <v>1300</v>
      </c>
      <c r="N859" t="s">
        <v>54</v>
      </c>
      <c r="Q859" t="s">
        <v>38</v>
      </c>
      <c r="R859">
        <v>2</v>
      </c>
      <c r="U859">
        <v>2</v>
      </c>
      <c r="W859" t="s">
        <v>1413</v>
      </c>
      <c r="X859" t="s">
        <v>40</v>
      </c>
      <c r="Y859" t="s">
        <v>40</v>
      </c>
      <c r="AA859">
        <f t="shared" si="54"/>
        <v>17.41</v>
      </c>
      <c r="AB859">
        <v>54.7</v>
      </c>
      <c r="AC859">
        <f t="shared" si="55"/>
        <v>0.23499819907198713</v>
      </c>
      <c r="AI859" t="e">
        <f>IF(Y859="Yes",NA(),#REF!)</f>
        <v>#N/A</v>
      </c>
      <c r="AJ859" t="e">
        <f>IF(Y859="Yes",NA(),#REF!)</f>
        <v>#N/A</v>
      </c>
      <c r="AK859" t="e">
        <f>IF(Y859="Yes",NA(),#REF!)</f>
        <v>#N/A</v>
      </c>
    </row>
    <row r="860" spans="1:37" x14ac:dyDescent="0.35">
      <c r="A860" s="12">
        <v>860</v>
      </c>
      <c r="C860">
        <v>99</v>
      </c>
      <c r="E860" s="2">
        <v>9.5</v>
      </c>
      <c r="F860" s="2">
        <v>6</v>
      </c>
      <c r="G860" t="s">
        <v>114</v>
      </c>
      <c r="H860" t="s">
        <v>35</v>
      </c>
      <c r="J860" s="14">
        <f t="shared" si="53"/>
        <v>124.1</v>
      </c>
      <c r="K860">
        <v>1300</v>
      </c>
      <c r="N860" t="s">
        <v>61</v>
      </c>
      <c r="Q860" t="s">
        <v>55</v>
      </c>
      <c r="W860" t="s">
        <v>1414</v>
      </c>
      <c r="AA860">
        <f t="shared" si="54"/>
        <v>12.41</v>
      </c>
      <c r="AB860">
        <v>39</v>
      </c>
      <c r="AC860">
        <f t="shared" si="55"/>
        <v>0.11945906065275187</v>
      </c>
      <c r="AI860" t="e">
        <f>IF(Y860="Yes",NA(),#REF!)</f>
        <v>#REF!</v>
      </c>
      <c r="AJ860" t="e">
        <f>IF(Y860="Yes",NA(),#REF!)</f>
        <v>#REF!</v>
      </c>
      <c r="AK860" t="e">
        <f>IF(Y860="Yes",NA(),#REF!)</f>
        <v>#REF!</v>
      </c>
    </row>
    <row r="861" spans="1:37" x14ac:dyDescent="0.35">
      <c r="A861" s="12">
        <v>861</v>
      </c>
      <c r="C861">
        <v>99</v>
      </c>
      <c r="E861" s="2">
        <v>8</v>
      </c>
      <c r="F861" s="2">
        <v>7.5</v>
      </c>
      <c r="G861" t="s">
        <v>63</v>
      </c>
      <c r="H861" t="s">
        <v>64</v>
      </c>
      <c r="J861" s="14">
        <f t="shared" si="53"/>
        <v>140.1</v>
      </c>
      <c r="K861">
        <v>1300</v>
      </c>
      <c r="N861" t="s">
        <v>54</v>
      </c>
      <c r="Q861">
        <v>1</v>
      </c>
      <c r="W861" t="s">
        <v>1415</v>
      </c>
      <c r="AA861">
        <f t="shared" si="54"/>
        <v>14.01</v>
      </c>
      <c r="AB861">
        <v>44</v>
      </c>
      <c r="AC861">
        <f t="shared" si="55"/>
        <v>0.15205308443374596</v>
      </c>
      <c r="AI861" t="e">
        <f>IF(Y861="Yes",NA(),#REF!)</f>
        <v>#REF!</v>
      </c>
      <c r="AJ861" t="e">
        <f>IF(Y861="Yes",NA(),#REF!)</f>
        <v>#REF!</v>
      </c>
      <c r="AK861" t="e">
        <f>IF(Y861="Yes",NA(),#REF!)</f>
        <v>#REF!</v>
      </c>
    </row>
    <row r="862" spans="1:37" x14ac:dyDescent="0.35">
      <c r="A862" s="12">
        <v>862</v>
      </c>
      <c r="C862">
        <v>99</v>
      </c>
      <c r="E862" s="2">
        <v>2.5</v>
      </c>
      <c r="F862" s="2">
        <v>7.5</v>
      </c>
      <c r="G862" t="s">
        <v>63</v>
      </c>
      <c r="H862" t="s">
        <v>64</v>
      </c>
      <c r="J862" s="14">
        <f t="shared" si="53"/>
        <v>116.8</v>
      </c>
      <c r="K862">
        <v>1300</v>
      </c>
      <c r="N862" t="s">
        <v>54</v>
      </c>
      <c r="Q862" t="s">
        <v>55</v>
      </c>
      <c r="W862" t="s">
        <v>1416</v>
      </c>
      <c r="AA862">
        <f t="shared" si="54"/>
        <v>11.68</v>
      </c>
      <c r="AB862">
        <v>36.700000000000003</v>
      </c>
      <c r="AC862">
        <f t="shared" si="55"/>
        <v>0.10578449322983893</v>
      </c>
      <c r="AI862" t="e">
        <f>IF(Y862="Yes",NA(),#REF!)</f>
        <v>#REF!</v>
      </c>
      <c r="AJ862" t="e">
        <f>IF(Y862="Yes",NA(),#REF!)</f>
        <v>#REF!</v>
      </c>
      <c r="AK862" t="e">
        <f>IF(Y862="Yes",NA(),#REF!)</f>
        <v>#REF!</v>
      </c>
    </row>
    <row r="863" spans="1:37" x14ac:dyDescent="0.35">
      <c r="A863" s="12">
        <v>863</v>
      </c>
      <c r="C863">
        <v>99</v>
      </c>
      <c r="E863" s="23">
        <v>1</v>
      </c>
      <c r="F863" s="23">
        <v>9.9</v>
      </c>
      <c r="G863" t="s">
        <v>70</v>
      </c>
      <c r="H863" t="s">
        <v>1417</v>
      </c>
      <c r="I863" t="s">
        <v>1360</v>
      </c>
      <c r="J863" s="14">
        <f t="shared" si="53"/>
        <v>101.89999999999999</v>
      </c>
      <c r="K863">
        <v>1300</v>
      </c>
      <c r="N863" t="s">
        <v>61</v>
      </c>
      <c r="Q863">
        <v>1</v>
      </c>
      <c r="U863">
        <v>3</v>
      </c>
      <c r="W863" t="s">
        <v>1418</v>
      </c>
      <c r="X863" t="s">
        <v>40</v>
      </c>
      <c r="Y863" t="s">
        <v>40</v>
      </c>
      <c r="AA863">
        <f t="shared" si="54"/>
        <v>10.19</v>
      </c>
      <c r="AB863" s="26">
        <v>32</v>
      </c>
      <c r="AC863">
        <f t="shared" si="55"/>
        <v>8.0424771931898703E-2</v>
      </c>
      <c r="AI863" t="e">
        <f>IF(Y863="Yes",NA(),#REF!)</f>
        <v>#N/A</v>
      </c>
      <c r="AJ863" t="e">
        <f>IF(Y863="Yes",NA(),#REF!)</f>
        <v>#N/A</v>
      </c>
      <c r="AK863" t="e">
        <f>IF(Y863="Yes",NA(),#REF!)</f>
        <v>#N/A</v>
      </c>
    </row>
    <row r="864" spans="1:37" x14ac:dyDescent="0.35">
      <c r="A864" s="12">
        <v>864</v>
      </c>
      <c r="C864">
        <v>98</v>
      </c>
      <c r="E864" s="2">
        <v>1.8</v>
      </c>
      <c r="F864" s="2">
        <v>0.5</v>
      </c>
      <c r="G864" t="s">
        <v>63</v>
      </c>
      <c r="H864" t="s">
        <v>64</v>
      </c>
      <c r="J864" s="14">
        <f t="shared" si="53"/>
        <v>136.19999999999999</v>
      </c>
      <c r="K864">
        <v>1300</v>
      </c>
      <c r="N864" t="s">
        <v>54</v>
      </c>
      <c r="Q864" t="s">
        <v>55</v>
      </c>
      <c r="W864" t="s">
        <v>1419</v>
      </c>
      <c r="AA864">
        <f t="shared" si="54"/>
        <v>13.62</v>
      </c>
      <c r="AB864">
        <v>42.8</v>
      </c>
      <c r="AC864">
        <f t="shared" si="55"/>
        <v>0.14387237716379814</v>
      </c>
      <c r="AI864" t="e">
        <f>IF(Y864="Yes",NA(),#REF!)</f>
        <v>#REF!</v>
      </c>
      <c r="AJ864" t="e">
        <f>IF(Y864="Yes",NA(),#REF!)</f>
        <v>#REF!</v>
      </c>
      <c r="AK864" t="e">
        <f>IF(Y864="Yes",NA(),#REF!)</f>
        <v>#REF!</v>
      </c>
    </row>
    <row r="865" spans="1:37" x14ac:dyDescent="0.35">
      <c r="A865" s="12">
        <v>865</v>
      </c>
      <c r="C865">
        <v>98</v>
      </c>
      <c r="E865" s="2">
        <v>1</v>
      </c>
      <c r="F865" s="2">
        <v>3</v>
      </c>
      <c r="G865" t="s">
        <v>114</v>
      </c>
      <c r="H865" t="s">
        <v>35</v>
      </c>
      <c r="J865" s="14">
        <f t="shared" si="53"/>
        <v>173.5</v>
      </c>
      <c r="K865">
        <v>1300</v>
      </c>
      <c r="N865" t="s">
        <v>61</v>
      </c>
      <c r="Q865" t="s">
        <v>152</v>
      </c>
      <c r="U865">
        <v>2</v>
      </c>
      <c r="W865" t="s">
        <v>1420</v>
      </c>
      <c r="X865" t="s">
        <v>40</v>
      </c>
      <c r="Y865" t="s">
        <v>40</v>
      </c>
      <c r="AA865">
        <f t="shared" si="54"/>
        <v>17.350000000000001</v>
      </c>
      <c r="AB865">
        <v>54.5</v>
      </c>
      <c r="AC865">
        <f t="shared" si="55"/>
        <v>0.23328288948312706</v>
      </c>
      <c r="AI865" t="e">
        <f>IF(Y865="Yes",NA(),#REF!)</f>
        <v>#N/A</v>
      </c>
      <c r="AJ865" t="e">
        <f>IF(Y865="Yes",NA(),#REF!)</f>
        <v>#N/A</v>
      </c>
      <c r="AK865" t="e">
        <f>IF(Y865="Yes",NA(),#REF!)</f>
        <v>#N/A</v>
      </c>
    </row>
    <row r="866" spans="1:37" x14ac:dyDescent="0.35">
      <c r="A866" s="12">
        <v>866</v>
      </c>
      <c r="C866">
        <v>98</v>
      </c>
      <c r="E866" s="2">
        <v>1.5</v>
      </c>
      <c r="F866" s="2">
        <v>3.1</v>
      </c>
      <c r="G866" t="s">
        <v>63</v>
      </c>
      <c r="H866" t="s">
        <v>64</v>
      </c>
      <c r="J866" s="14">
        <f t="shared" si="53"/>
        <v>105.39999999999999</v>
      </c>
      <c r="K866">
        <v>1300</v>
      </c>
      <c r="N866" t="s">
        <v>54</v>
      </c>
      <c r="Q866" t="s">
        <v>934</v>
      </c>
      <c r="W866" t="s">
        <v>1421</v>
      </c>
      <c r="AA866">
        <f t="shared" si="54"/>
        <v>10.54</v>
      </c>
      <c r="AB866">
        <v>33.1</v>
      </c>
      <c r="AC866">
        <f t="shared" si="55"/>
        <v>8.604900817998784E-2</v>
      </c>
      <c r="AI866" t="e">
        <f>IF(Y866="Yes",NA(),#REF!)</f>
        <v>#REF!</v>
      </c>
      <c r="AJ866" t="e">
        <f>IF(Y866="Yes",NA(),#REF!)</f>
        <v>#REF!</v>
      </c>
      <c r="AK866" t="e">
        <f>IF(Y866="Yes",NA(),#REF!)</f>
        <v>#REF!</v>
      </c>
    </row>
    <row r="867" spans="1:37" x14ac:dyDescent="0.35">
      <c r="A867" s="12">
        <v>867</v>
      </c>
      <c r="C867">
        <v>98</v>
      </c>
      <c r="E867" s="2">
        <v>7.5</v>
      </c>
      <c r="F867" s="2">
        <v>7</v>
      </c>
      <c r="G867" t="s">
        <v>63</v>
      </c>
      <c r="H867" t="s">
        <v>64</v>
      </c>
      <c r="J867" s="14">
        <f t="shared" si="53"/>
        <v>146.1</v>
      </c>
      <c r="K867">
        <v>1300</v>
      </c>
      <c r="N867" t="s">
        <v>54</v>
      </c>
      <c r="Q867" t="s">
        <v>152</v>
      </c>
      <c r="W867" t="s">
        <v>1422</v>
      </c>
      <c r="AA867">
        <f t="shared" si="54"/>
        <v>14.61</v>
      </c>
      <c r="AB867">
        <v>45.9</v>
      </c>
      <c r="AC867">
        <f t="shared" si="55"/>
        <v>0.1654684704627378</v>
      </c>
      <c r="AI867" t="e">
        <f>IF(Y867="Yes",NA(),#REF!)</f>
        <v>#REF!</v>
      </c>
      <c r="AJ867" t="e">
        <f>IF(Y867="Yes",NA(),#REF!)</f>
        <v>#REF!</v>
      </c>
      <c r="AK867" t="e">
        <f>IF(Y867="Yes",NA(),#REF!)</f>
        <v>#REF!</v>
      </c>
    </row>
    <row r="868" spans="1:37" x14ac:dyDescent="0.35">
      <c r="A868" s="12">
        <v>868</v>
      </c>
      <c r="C868">
        <v>98</v>
      </c>
      <c r="E868" s="2">
        <v>7</v>
      </c>
      <c r="F868" s="2">
        <v>7</v>
      </c>
      <c r="G868" t="s">
        <v>63</v>
      </c>
      <c r="H868" t="s">
        <v>64</v>
      </c>
      <c r="J868" s="14">
        <f t="shared" si="53"/>
        <v>110.1</v>
      </c>
      <c r="K868">
        <v>1300</v>
      </c>
      <c r="N868" t="s">
        <v>54</v>
      </c>
      <c r="Q868">
        <v>1</v>
      </c>
      <c r="W868" t="s">
        <v>1423</v>
      </c>
      <c r="AA868">
        <f t="shared" si="54"/>
        <v>11.01</v>
      </c>
      <c r="AB868">
        <v>34.6</v>
      </c>
      <c r="AC868">
        <f t="shared" si="55"/>
        <v>9.4024726529288921E-2</v>
      </c>
      <c r="AI868" t="e">
        <f>IF(Y868="Yes",NA(),#REF!)</f>
        <v>#REF!</v>
      </c>
      <c r="AJ868" t="e">
        <f>IF(Y868="Yes",NA(),#REF!)</f>
        <v>#REF!</v>
      </c>
      <c r="AK868" t="e">
        <f>IF(Y868="Yes",NA(),#REF!)</f>
        <v>#REF!</v>
      </c>
    </row>
    <row r="869" spans="1:37" x14ac:dyDescent="0.35">
      <c r="A869" s="12">
        <v>869</v>
      </c>
      <c r="C869">
        <v>98</v>
      </c>
      <c r="E869" s="2">
        <v>3.5</v>
      </c>
      <c r="F869" s="2">
        <v>8.8000000000000007</v>
      </c>
      <c r="G869" t="s">
        <v>63</v>
      </c>
      <c r="H869" t="s">
        <v>64</v>
      </c>
      <c r="J869" s="14">
        <f t="shared" si="53"/>
        <v>130.80000000000001</v>
      </c>
      <c r="K869">
        <v>1300</v>
      </c>
      <c r="N869" t="s">
        <v>54</v>
      </c>
      <c r="Q869" t="s">
        <v>152</v>
      </c>
      <c r="W869" t="s">
        <v>1424</v>
      </c>
      <c r="AA869">
        <f t="shared" si="54"/>
        <v>13.08</v>
      </c>
      <c r="AB869">
        <v>41.1</v>
      </c>
      <c r="AC869">
        <f t="shared" si="55"/>
        <v>0.13267024315926038</v>
      </c>
      <c r="AI869" t="e">
        <f>IF(Y869="Yes",NA(),#REF!)</f>
        <v>#REF!</v>
      </c>
      <c r="AJ869" t="e">
        <f>IF(Y869="Yes",NA(),#REF!)</f>
        <v>#REF!</v>
      </c>
      <c r="AK869" t="e">
        <f>IF(Y869="Yes",NA(),#REF!)</f>
        <v>#REF!</v>
      </c>
    </row>
    <row r="870" spans="1:37" x14ac:dyDescent="0.35">
      <c r="A870" s="12">
        <v>870</v>
      </c>
      <c r="C870">
        <v>98</v>
      </c>
      <c r="E870" s="2">
        <v>3</v>
      </c>
      <c r="F870" s="2">
        <v>8.8000000000000007</v>
      </c>
      <c r="G870" t="s">
        <v>63</v>
      </c>
      <c r="H870" t="s">
        <v>64</v>
      </c>
      <c r="J870" s="14">
        <f t="shared" si="53"/>
        <v>136.6</v>
      </c>
      <c r="K870">
        <v>1300</v>
      </c>
      <c r="N870" t="s">
        <v>54</v>
      </c>
      <c r="Q870" t="s">
        <v>152</v>
      </c>
      <c r="W870" t="s">
        <v>1425</v>
      </c>
      <c r="AA870">
        <f t="shared" si="54"/>
        <v>13.66</v>
      </c>
      <c r="AB870">
        <v>42.9</v>
      </c>
      <c r="AC870">
        <f t="shared" si="55"/>
        <v>0.14454546338982976</v>
      </c>
      <c r="AI870" t="e">
        <f>IF(Y870="Yes",NA(),#REF!)</f>
        <v>#REF!</v>
      </c>
      <c r="AJ870" t="e">
        <f>IF(Y870="Yes",NA(),#REF!)</f>
        <v>#REF!</v>
      </c>
      <c r="AK870" t="e">
        <f>IF(Y870="Yes",NA(),#REF!)</f>
        <v>#REF!</v>
      </c>
    </row>
    <row r="871" spans="1:37" x14ac:dyDescent="0.35">
      <c r="A871" s="12">
        <v>871</v>
      </c>
      <c r="C871">
        <v>98</v>
      </c>
      <c r="E871" s="23">
        <v>1.5</v>
      </c>
      <c r="F871" s="23">
        <v>8</v>
      </c>
      <c r="G871" t="s">
        <v>112</v>
      </c>
      <c r="H871" t="s">
        <v>163</v>
      </c>
      <c r="J871" s="14">
        <f t="shared" si="53"/>
        <v>369.20000000000005</v>
      </c>
      <c r="K871">
        <v>1300</v>
      </c>
      <c r="N871" t="s">
        <v>1426</v>
      </c>
      <c r="Q871" t="s">
        <v>38</v>
      </c>
      <c r="W871" t="s">
        <v>1427</v>
      </c>
      <c r="X871" t="s">
        <v>40</v>
      </c>
      <c r="Y871" t="s">
        <v>40</v>
      </c>
      <c r="AA871">
        <f t="shared" si="54"/>
        <v>36.92</v>
      </c>
      <c r="AB871" s="26">
        <v>116</v>
      </c>
      <c r="AC871">
        <f t="shared" si="55"/>
        <v>1.0568317686676063</v>
      </c>
      <c r="AI871" t="e">
        <f>IF(Y871="Yes",NA(),#REF!)</f>
        <v>#N/A</v>
      </c>
      <c r="AJ871" t="e">
        <f>IF(Y871="Yes",NA(),#REF!)</f>
        <v>#N/A</v>
      </c>
      <c r="AK871" t="e">
        <f>IF(Y871="Yes",NA(),#REF!)</f>
        <v>#N/A</v>
      </c>
    </row>
    <row r="872" spans="1:37" x14ac:dyDescent="0.35">
      <c r="A872" s="12">
        <v>872</v>
      </c>
      <c r="C872">
        <v>98</v>
      </c>
      <c r="E872" s="2">
        <v>2.5</v>
      </c>
      <c r="F872" s="2">
        <v>5</v>
      </c>
      <c r="G872" t="s">
        <v>47</v>
      </c>
      <c r="H872" t="s">
        <v>1428</v>
      </c>
      <c r="I872" t="s">
        <v>307</v>
      </c>
      <c r="J872" s="14">
        <f t="shared" si="53"/>
        <v>321.5</v>
      </c>
      <c r="K872">
        <v>1300</v>
      </c>
      <c r="N872" t="s">
        <v>61</v>
      </c>
      <c r="Q872" t="s">
        <v>38</v>
      </c>
      <c r="R872">
        <v>3</v>
      </c>
      <c r="W872" t="s">
        <v>1429</v>
      </c>
      <c r="AA872">
        <f t="shared" si="54"/>
        <v>32.15</v>
      </c>
      <c r="AB872">
        <v>101</v>
      </c>
      <c r="AC872">
        <f t="shared" ref="AC872:AC903" si="56">PI()*(AB872/2)*(AB872/2)/10000</f>
        <v>0.80118466648173703</v>
      </c>
      <c r="AI872" t="e">
        <f>IF(Y872="Yes",NA(),#REF!)</f>
        <v>#REF!</v>
      </c>
      <c r="AJ872" t="e">
        <f>IF(Y872="Yes",NA(),#REF!)</f>
        <v>#REF!</v>
      </c>
      <c r="AK872" t="e">
        <f>IF(Y872="Yes",NA(),#REF!)</f>
        <v>#REF!</v>
      </c>
    </row>
    <row r="873" spans="1:37" x14ac:dyDescent="0.35">
      <c r="A873" s="12">
        <v>873</v>
      </c>
      <c r="C873">
        <v>98</v>
      </c>
      <c r="E873" s="2">
        <v>1.2</v>
      </c>
      <c r="F873" s="2">
        <v>4</v>
      </c>
      <c r="G873" t="s">
        <v>34</v>
      </c>
      <c r="H873" t="s">
        <v>313</v>
      </c>
      <c r="J873" s="14">
        <f t="shared" si="53"/>
        <v>311.90000000000003</v>
      </c>
      <c r="K873">
        <v>1300</v>
      </c>
      <c r="N873" t="s">
        <v>37</v>
      </c>
      <c r="Q873" t="s">
        <v>38</v>
      </c>
      <c r="U873">
        <v>3</v>
      </c>
      <c r="W873" t="s">
        <v>1430</v>
      </c>
      <c r="Y873" t="s">
        <v>426</v>
      </c>
      <c r="AA873">
        <f t="shared" si="54"/>
        <v>31.19</v>
      </c>
      <c r="AB873">
        <v>98</v>
      </c>
      <c r="AC873">
        <f t="shared" si="56"/>
        <v>0.75429639612690924</v>
      </c>
      <c r="AI873" t="e">
        <f>IF(Y873="Yes",NA(),#REF!)</f>
        <v>#N/A</v>
      </c>
      <c r="AJ873" t="e">
        <f>IF(Y873="Yes",NA(),#REF!)</f>
        <v>#N/A</v>
      </c>
      <c r="AK873" t="e">
        <f>IF(Y873="Yes",NA(),#REF!)</f>
        <v>#N/A</v>
      </c>
    </row>
    <row r="874" spans="1:37" x14ac:dyDescent="0.35">
      <c r="A874" s="12">
        <v>874</v>
      </c>
      <c r="C874">
        <v>98</v>
      </c>
      <c r="E874" s="23">
        <v>6.5</v>
      </c>
      <c r="F874" s="23">
        <v>5</v>
      </c>
      <c r="G874" t="s">
        <v>70</v>
      </c>
      <c r="H874" t="s">
        <v>1359</v>
      </c>
      <c r="I874" t="s">
        <v>1360</v>
      </c>
      <c r="J874" s="14">
        <f t="shared" si="53"/>
        <v>159.5</v>
      </c>
      <c r="K874">
        <v>1300</v>
      </c>
      <c r="N874" t="s">
        <v>889</v>
      </c>
      <c r="Q874">
        <v>1</v>
      </c>
      <c r="U874">
        <v>3</v>
      </c>
      <c r="W874" t="s">
        <v>1431</v>
      </c>
      <c r="X874" t="s">
        <v>40</v>
      </c>
      <c r="Y874" t="s">
        <v>40</v>
      </c>
      <c r="AA874">
        <f t="shared" si="54"/>
        <v>15.95</v>
      </c>
      <c r="AB874" s="26">
        <v>50.1</v>
      </c>
      <c r="AC874">
        <f t="shared" si="56"/>
        <v>0.19713572441092292</v>
      </c>
      <c r="AI874" t="e">
        <f>IF(Y874="Yes",NA(),#REF!)</f>
        <v>#N/A</v>
      </c>
      <c r="AJ874" t="e">
        <f>IF(Y874="Yes",NA(),#REF!)</f>
        <v>#N/A</v>
      </c>
      <c r="AK874" t="e">
        <f>IF(Y874="Yes",NA(),#REF!)</f>
        <v>#N/A</v>
      </c>
    </row>
    <row r="875" spans="1:37" x14ac:dyDescent="0.35">
      <c r="A875" s="12">
        <v>875</v>
      </c>
      <c r="C875">
        <v>97</v>
      </c>
      <c r="E875" s="2">
        <v>0.5</v>
      </c>
      <c r="F875" s="2">
        <v>1</v>
      </c>
      <c r="G875" t="s">
        <v>63</v>
      </c>
      <c r="H875" t="s">
        <v>64</v>
      </c>
      <c r="J875" s="14">
        <f t="shared" si="53"/>
        <v>115.19999999999999</v>
      </c>
      <c r="K875">
        <v>1300</v>
      </c>
      <c r="N875" t="s">
        <v>54</v>
      </c>
      <c r="Q875" t="s">
        <v>934</v>
      </c>
      <c r="W875" t="s">
        <v>1432</v>
      </c>
      <c r="AA875">
        <f t="shared" si="54"/>
        <v>11.52</v>
      </c>
      <c r="AB875">
        <v>36.200000000000003</v>
      </c>
      <c r="AC875">
        <f t="shared" si="56"/>
        <v>0.10292171692425522</v>
      </c>
      <c r="AI875" t="e">
        <f>IF(Y875="Yes",NA(),#REF!)</f>
        <v>#REF!</v>
      </c>
      <c r="AJ875" t="e">
        <f>IF(Y875="Yes",NA(),#REF!)</f>
        <v>#REF!</v>
      </c>
      <c r="AK875" t="e">
        <f>IF(Y875="Yes",NA(),#REF!)</f>
        <v>#REF!</v>
      </c>
    </row>
    <row r="876" spans="1:37" x14ac:dyDescent="0.35">
      <c r="A876" s="12">
        <v>876</v>
      </c>
      <c r="C876">
        <v>97</v>
      </c>
      <c r="E876" s="2">
        <v>2.5</v>
      </c>
      <c r="F876" s="2">
        <v>2</v>
      </c>
      <c r="G876" t="s">
        <v>166</v>
      </c>
      <c r="H876" t="s">
        <v>741</v>
      </c>
      <c r="J876" s="14">
        <f t="shared" si="53"/>
        <v>156.30000000000001</v>
      </c>
      <c r="K876">
        <v>1300</v>
      </c>
      <c r="N876" t="s">
        <v>61</v>
      </c>
      <c r="Q876" t="s">
        <v>934</v>
      </c>
      <c r="U876">
        <v>7</v>
      </c>
      <c r="W876" t="s">
        <v>1433</v>
      </c>
      <c r="X876" t="s">
        <v>40</v>
      </c>
      <c r="Y876" t="s">
        <v>240</v>
      </c>
      <c r="Z876" t="s">
        <v>1434</v>
      </c>
      <c r="AA876">
        <f t="shared" si="54"/>
        <v>15.63</v>
      </c>
      <c r="AB876">
        <v>49.1</v>
      </c>
      <c r="AC876">
        <f t="shared" si="56"/>
        <v>0.18934457463002025</v>
      </c>
      <c r="AI876" t="e">
        <f>IF(Y876="Yes",NA(),#REF!)</f>
        <v>#REF!</v>
      </c>
      <c r="AJ876" t="e">
        <f>IF(Y876="Yes",NA(),#REF!)</f>
        <v>#REF!</v>
      </c>
      <c r="AK876" t="e">
        <f>IF(Y876="Yes",NA(),#REF!)</f>
        <v>#REF!</v>
      </c>
    </row>
    <row r="877" spans="1:37" x14ac:dyDescent="0.35">
      <c r="A877" s="12">
        <v>877</v>
      </c>
      <c r="C877">
        <v>97</v>
      </c>
      <c r="E877" s="2">
        <v>8.1999999999999993</v>
      </c>
      <c r="F877" s="2">
        <v>2</v>
      </c>
      <c r="G877" t="s">
        <v>104</v>
      </c>
      <c r="H877" t="s">
        <v>1002</v>
      </c>
      <c r="J877" s="14">
        <f t="shared" si="53"/>
        <v>252.7</v>
      </c>
      <c r="K877">
        <v>1300</v>
      </c>
      <c r="N877" t="s">
        <v>54</v>
      </c>
      <c r="Q877">
        <v>4</v>
      </c>
      <c r="R877">
        <v>2</v>
      </c>
      <c r="U877">
        <v>3</v>
      </c>
      <c r="W877" t="s">
        <v>1435</v>
      </c>
      <c r="X877" t="s">
        <v>40</v>
      </c>
      <c r="Y877" t="s">
        <v>240</v>
      </c>
      <c r="AA877">
        <f t="shared" si="54"/>
        <v>25.27</v>
      </c>
      <c r="AB877">
        <v>79.400000000000006</v>
      </c>
      <c r="AC877">
        <f t="shared" si="56"/>
        <v>0.49514327653963375</v>
      </c>
      <c r="AI877" t="e">
        <f>IF(Y877="Yes",NA(),#REF!)</f>
        <v>#REF!</v>
      </c>
      <c r="AJ877" t="e">
        <f>IF(Y877="Yes",NA(),#REF!)</f>
        <v>#REF!</v>
      </c>
      <c r="AK877" t="e">
        <f>IF(Y877="Yes",NA(),#REF!)</f>
        <v>#REF!</v>
      </c>
    </row>
    <row r="878" spans="1:37" x14ac:dyDescent="0.35">
      <c r="A878" s="12">
        <v>878</v>
      </c>
      <c r="C878">
        <v>97</v>
      </c>
      <c r="E878" s="2">
        <v>9</v>
      </c>
      <c r="F878" s="2">
        <v>5</v>
      </c>
      <c r="G878" t="s">
        <v>59</v>
      </c>
      <c r="H878" t="s">
        <v>234</v>
      </c>
      <c r="J878" s="14">
        <f t="shared" si="53"/>
        <v>121.6</v>
      </c>
      <c r="K878">
        <v>1300</v>
      </c>
      <c r="N878" t="s">
        <v>54</v>
      </c>
      <c r="Q878">
        <v>1</v>
      </c>
      <c r="U878">
        <v>3</v>
      </c>
      <c r="W878" t="s">
        <v>1436</v>
      </c>
      <c r="X878" t="s">
        <v>40</v>
      </c>
      <c r="Y878" t="s">
        <v>40</v>
      </c>
      <c r="AA878">
        <f t="shared" si="54"/>
        <v>12.16</v>
      </c>
      <c r="AB878">
        <v>38.200000000000003</v>
      </c>
      <c r="AC878">
        <f t="shared" si="56"/>
        <v>0.11460844159560928</v>
      </c>
      <c r="AI878" t="e">
        <f>IF(Y878="Yes",NA(),#REF!)</f>
        <v>#N/A</v>
      </c>
      <c r="AJ878" t="e">
        <f>IF(Y878="Yes",NA(),#REF!)</f>
        <v>#N/A</v>
      </c>
      <c r="AK878" t="e">
        <f>IF(Y878="Yes",NA(),#REF!)</f>
        <v>#N/A</v>
      </c>
    </row>
    <row r="879" spans="1:37" x14ac:dyDescent="0.35">
      <c r="A879" s="12">
        <v>879</v>
      </c>
      <c r="C879">
        <v>97</v>
      </c>
      <c r="E879" s="2">
        <v>9.1999999999999993</v>
      </c>
      <c r="F879" s="2">
        <v>6.5</v>
      </c>
      <c r="G879" t="s">
        <v>114</v>
      </c>
      <c r="H879" t="s">
        <v>35</v>
      </c>
      <c r="J879" s="14">
        <f t="shared" si="53"/>
        <v>111.7</v>
      </c>
      <c r="K879">
        <v>1300</v>
      </c>
      <c r="N879" t="s">
        <v>61</v>
      </c>
      <c r="Q879" t="s">
        <v>55</v>
      </c>
      <c r="R879">
        <v>1</v>
      </c>
      <c r="W879" t="s">
        <v>1437</v>
      </c>
      <c r="X879" t="s">
        <v>40</v>
      </c>
      <c r="Y879" t="s">
        <v>40</v>
      </c>
      <c r="AA879">
        <f t="shared" si="54"/>
        <v>11.17</v>
      </c>
      <c r="AB879">
        <v>35.1</v>
      </c>
      <c r="AC879">
        <f t="shared" si="56"/>
        <v>9.676183912872903E-2</v>
      </c>
      <c r="AI879" t="e">
        <f>IF(Y879="Yes",NA(),#REF!)</f>
        <v>#N/A</v>
      </c>
      <c r="AJ879" t="e">
        <f>IF(Y879="Yes",NA(),#REF!)</f>
        <v>#N/A</v>
      </c>
      <c r="AK879" t="e">
        <f>IF(Y879="Yes",NA(),#REF!)</f>
        <v>#N/A</v>
      </c>
    </row>
    <row r="880" spans="1:37" x14ac:dyDescent="0.35">
      <c r="A880" s="12">
        <v>880</v>
      </c>
      <c r="C880">
        <v>97</v>
      </c>
      <c r="E880" s="2">
        <v>9</v>
      </c>
      <c r="F880" s="2">
        <v>8</v>
      </c>
      <c r="G880" t="s">
        <v>59</v>
      </c>
      <c r="H880" t="s">
        <v>461</v>
      </c>
      <c r="J880" s="14">
        <f t="shared" si="53"/>
        <v>104.39999999999999</v>
      </c>
      <c r="K880">
        <v>1300</v>
      </c>
      <c r="N880" t="s">
        <v>81</v>
      </c>
      <c r="Q880">
        <v>1</v>
      </c>
      <c r="W880" t="s">
        <v>1438</v>
      </c>
      <c r="X880" t="s">
        <v>40</v>
      </c>
      <c r="Y880" t="s">
        <v>40</v>
      </c>
      <c r="Z880" t="s">
        <v>1439</v>
      </c>
      <c r="AA880">
        <f t="shared" si="54"/>
        <v>10.44</v>
      </c>
      <c r="AB880">
        <v>32.799999999999997</v>
      </c>
      <c r="AC880">
        <f t="shared" si="56"/>
        <v>8.4496276010951055E-2</v>
      </c>
      <c r="AI880" t="e">
        <f>IF(Y880="Yes",NA(),#REF!)</f>
        <v>#N/A</v>
      </c>
      <c r="AJ880" t="e">
        <f>IF(Y880="Yes",NA(),#REF!)</f>
        <v>#N/A</v>
      </c>
      <c r="AK880" t="e">
        <f>IF(Y880="Yes",NA(),#REF!)</f>
        <v>#N/A</v>
      </c>
    </row>
    <row r="881" spans="1:37" x14ac:dyDescent="0.35">
      <c r="A881" s="12">
        <v>881</v>
      </c>
      <c r="C881">
        <v>97</v>
      </c>
      <c r="E881" s="2">
        <v>6</v>
      </c>
      <c r="F881" s="2">
        <v>5</v>
      </c>
      <c r="G881" t="s">
        <v>63</v>
      </c>
      <c r="H881" t="s">
        <v>64</v>
      </c>
      <c r="J881" s="14">
        <f t="shared" si="53"/>
        <v>120.60000000000001</v>
      </c>
      <c r="K881">
        <v>1300</v>
      </c>
      <c r="N881" t="s">
        <v>54</v>
      </c>
      <c r="Q881" t="s">
        <v>38</v>
      </c>
      <c r="W881" t="s">
        <v>1440</v>
      </c>
      <c r="AA881">
        <f t="shared" si="54"/>
        <v>12.06</v>
      </c>
      <c r="AB881">
        <v>37.9</v>
      </c>
      <c r="AC881">
        <f t="shared" si="56"/>
        <v>0.11281537758857285</v>
      </c>
      <c r="AI881" t="e">
        <f>IF(Y881="Yes",NA(),#REF!)</f>
        <v>#REF!</v>
      </c>
      <c r="AJ881" t="e">
        <f>IF(Y881="Yes",NA(),#REF!)</f>
        <v>#REF!</v>
      </c>
      <c r="AK881" t="e">
        <f>IF(Y881="Yes",NA(),#REF!)</f>
        <v>#REF!</v>
      </c>
    </row>
    <row r="882" spans="1:37" x14ac:dyDescent="0.35">
      <c r="A882" s="12">
        <v>882</v>
      </c>
      <c r="C882">
        <v>97</v>
      </c>
      <c r="E882" s="2">
        <v>4</v>
      </c>
      <c r="F882" s="2">
        <v>9</v>
      </c>
      <c r="G882" t="s">
        <v>63</v>
      </c>
      <c r="H882" t="s">
        <v>728</v>
      </c>
      <c r="J882" s="14">
        <f t="shared" si="53"/>
        <v>104.7</v>
      </c>
      <c r="K882">
        <v>1300</v>
      </c>
      <c r="N882" t="s">
        <v>945</v>
      </c>
      <c r="Q882" t="s">
        <v>55</v>
      </c>
      <c r="W882" t="s">
        <v>1441</v>
      </c>
      <c r="X882" t="s">
        <v>40</v>
      </c>
      <c r="Y882" t="s">
        <v>40</v>
      </c>
      <c r="AA882">
        <f t="shared" si="54"/>
        <v>10.47</v>
      </c>
      <c r="AB882">
        <v>32.9</v>
      </c>
      <c r="AC882">
        <f t="shared" si="56"/>
        <v>8.5012282604303199E-2</v>
      </c>
      <c r="AI882" t="e">
        <f>IF(Y882="Yes",NA(),#REF!)</f>
        <v>#N/A</v>
      </c>
      <c r="AJ882" t="e">
        <f>IF(Y882="Yes",NA(),#REF!)</f>
        <v>#N/A</v>
      </c>
      <c r="AK882" t="e">
        <f>IF(Y882="Yes",NA(),#REF!)</f>
        <v>#N/A</v>
      </c>
    </row>
    <row r="883" spans="1:37" x14ac:dyDescent="0.35">
      <c r="A883" s="12">
        <v>883</v>
      </c>
      <c r="C883">
        <v>97</v>
      </c>
      <c r="E883" s="2">
        <v>3</v>
      </c>
      <c r="F883" s="2">
        <v>3</v>
      </c>
      <c r="G883" t="s">
        <v>112</v>
      </c>
      <c r="H883" t="s">
        <v>354</v>
      </c>
      <c r="J883" s="14">
        <f t="shared" si="53"/>
        <v>103.80000000000001</v>
      </c>
      <c r="K883">
        <v>1300</v>
      </c>
      <c r="N883" t="s">
        <v>54</v>
      </c>
      <c r="Q883" t="s">
        <v>55</v>
      </c>
      <c r="U883">
        <v>3</v>
      </c>
      <c r="W883" t="s">
        <v>1442</v>
      </c>
      <c r="X883" t="s">
        <v>40</v>
      </c>
      <c r="Y883" t="s">
        <v>40</v>
      </c>
      <c r="AA883">
        <f t="shared" si="54"/>
        <v>10.38</v>
      </c>
      <c r="AB883" s="26">
        <v>32.6</v>
      </c>
      <c r="AC883">
        <f t="shared" si="56"/>
        <v>8.3468975213227228E-2</v>
      </c>
      <c r="AI883" t="e">
        <f>IF(Y883="Yes",NA(),#REF!)</f>
        <v>#N/A</v>
      </c>
      <c r="AJ883" t="e">
        <f>IF(Y883="Yes",NA(),#REF!)</f>
        <v>#N/A</v>
      </c>
      <c r="AK883" t="e">
        <f>IF(Y883="Yes",NA(),#REF!)</f>
        <v>#N/A</v>
      </c>
    </row>
    <row r="884" spans="1:37" x14ac:dyDescent="0.35">
      <c r="A884" s="12">
        <v>884</v>
      </c>
      <c r="C884">
        <v>97</v>
      </c>
      <c r="E884" s="2">
        <v>0.5</v>
      </c>
      <c r="F884" s="2">
        <v>6</v>
      </c>
      <c r="G884" t="s">
        <v>63</v>
      </c>
      <c r="H884" t="s">
        <v>64</v>
      </c>
      <c r="J884" s="14">
        <f t="shared" si="53"/>
        <v>104.7</v>
      </c>
      <c r="K884">
        <v>1300</v>
      </c>
      <c r="N884" t="s">
        <v>54</v>
      </c>
      <c r="Q884" t="s">
        <v>55</v>
      </c>
      <c r="W884" t="s">
        <v>1443</v>
      </c>
      <c r="AA884">
        <f t="shared" si="54"/>
        <v>10.47</v>
      </c>
      <c r="AB884">
        <v>32.9</v>
      </c>
      <c r="AC884">
        <f t="shared" si="56"/>
        <v>8.5012282604303199E-2</v>
      </c>
      <c r="AI884" t="e">
        <f>IF(Y884="Yes",NA(),#REF!)</f>
        <v>#REF!</v>
      </c>
      <c r="AJ884" t="e">
        <f>IF(Y884="Yes",NA(),#REF!)</f>
        <v>#REF!</v>
      </c>
      <c r="AK884" t="e">
        <f>IF(Y884="Yes",NA(),#REF!)</f>
        <v>#REF!</v>
      </c>
    </row>
    <row r="885" spans="1:37" x14ac:dyDescent="0.35">
      <c r="A885" s="12">
        <v>885</v>
      </c>
      <c r="C885">
        <v>97</v>
      </c>
      <c r="E885" s="2">
        <v>0.5</v>
      </c>
      <c r="F885" s="2">
        <v>9.5</v>
      </c>
      <c r="G885" t="s">
        <v>63</v>
      </c>
      <c r="H885" t="s">
        <v>64</v>
      </c>
      <c r="J885" s="14">
        <f t="shared" si="53"/>
        <v>117.5</v>
      </c>
      <c r="K885">
        <v>1300</v>
      </c>
      <c r="N885" t="s">
        <v>54</v>
      </c>
      <c r="Q885" t="s">
        <v>55</v>
      </c>
      <c r="W885" t="s">
        <v>1444</v>
      </c>
      <c r="AA885">
        <f t="shared" si="54"/>
        <v>11.75</v>
      </c>
      <c r="AB885">
        <v>36.9</v>
      </c>
      <c r="AC885">
        <f t="shared" si="56"/>
        <v>0.10694059932635996</v>
      </c>
      <c r="AI885" t="e">
        <f>IF(Y885="Yes",NA(),#REF!)</f>
        <v>#REF!</v>
      </c>
      <c r="AJ885" t="e">
        <f>IF(Y885="Yes",NA(),#REF!)</f>
        <v>#REF!</v>
      </c>
      <c r="AK885" t="e">
        <f>IF(Y885="Yes",NA(),#REF!)</f>
        <v>#REF!</v>
      </c>
    </row>
    <row r="886" spans="1:37" x14ac:dyDescent="0.35">
      <c r="A886" s="12">
        <v>886</v>
      </c>
      <c r="C886">
        <v>96</v>
      </c>
      <c r="E886" s="2">
        <v>3</v>
      </c>
      <c r="F886" s="2">
        <v>3</v>
      </c>
      <c r="G886" t="s">
        <v>104</v>
      </c>
      <c r="H886" t="s">
        <v>1445</v>
      </c>
      <c r="J886" s="14">
        <f t="shared" si="53"/>
        <v>109.80000000000001</v>
      </c>
      <c r="K886">
        <v>1300</v>
      </c>
      <c r="N886" t="s">
        <v>61</v>
      </c>
      <c r="Q886" t="s">
        <v>934</v>
      </c>
      <c r="U886">
        <v>3</v>
      </c>
      <c r="W886" t="s">
        <v>1446</v>
      </c>
      <c r="X886" t="s">
        <v>40</v>
      </c>
      <c r="Y886" t="s">
        <v>40</v>
      </c>
      <c r="Z886" t="s">
        <v>1447</v>
      </c>
      <c r="AA886">
        <f t="shared" si="54"/>
        <v>10.98</v>
      </c>
      <c r="AB886">
        <v>34.5</v>
      </c>
      <c r="AC886">
        <f t="shared" si="56"/>
        <v>9.3482016398381274E-2</v>
      </c>
      <c r="AI886" t="e">
        <f>IF(Y886="Yes",NA(),#REF!)</f>
        <v>#N/A</v>
      </c>
      <c r="AJ886" t="e">
        <f>IF(Y886="Yes",NA(),#REF!)</f>
        <v>#N/A</v>
      </c>
      <c r="AK886" t="e">
        <f>IF(Y886="Yes",NA(),#REF!)</f>
        <v>#N/A</v>
      </c>
    </row>
    <row r="887" spans="1:37" x14ac:dyDescent="0.35">
      <c r="A887" s="12">
        <v>887</v>
      </c>
      <c r="C887">
        <v>96</v>
      </c>
      <c r="E887" s="2">
        <v>7</v>
      </c>
      <c r="F887" s="2">
        <v>1.7</v>
      </c>
      <c r="G887" t="s">
        <v>63</v>
      </c>
      <c r="H887" t="s">
        <v>64</v>
      </c>
      <c r="J887" s="14">
        <f t="shared" si="53"/>
        <v>134.60000000000002</v>
      </c>
      <c r="K887">
        <v>1300</v>
      </c>
      <c r="N887" t="s">
        <v>54</v>
      </c>
      <c r="Q887" t="s">
        <v>38</v>
      </c>
      <c r="W887" t="s">
        <v>1448</v>
      </c>
      <c r="AA887">
        <f t="shared" si="54"/>
        <v>13.46</v>
      </c>
      <c r="AB887">
        <v>42.3</v>
      </c>
      <c r="AC887">
        <f t="shared" si="56"/>
        <v>0.140530507978542</v>
      </c>
      <c r="AI887" t="e">
        <f>IF(Y887="Yes",NA(),#REF!)</f>
        <v>#REF!</v>
      </c>
      <c r="AJ887" t="e">
        <f>IF(Y887="Yes",NA(),#REF!)</f>
        <v>#REF!</v>
      </c>
      <c r="AK887" t="e">
        <f>IF(Y887="Yes",NA(),#REF!)</f>
        <v>#REF!</v>
      </c>
    </row>
    <row r="888" spans="1:37" x14ac:dyDescent="0.35">
      <c r="A888" s="12">
        <v>888</v>
      </c>
      <c r="C888">
        <v>96</v>
      </c>
      <c r="E888" s="2">
        <v>7</v>
      </c>
      <c r="F888" s="2">
        <v>1.5</v>
      </c>
      <c r="G888" t="s">
        <v>114</v>
      </c>
      <c r="H888" t="s">
        <v>35</v>
      </c>
      <c r="J888" s="14">
        <f t="shared" ref="J888:J938" si="57">ROUND(AB888/PI(), 2)*10</f>
        <v>311</v>
      </c>
      <c r="K888">
        <v>1300</v>
      </c>
      <c r="N888" t="s">
        <v>61</v>
      </c>
      <c r="Q888">
        <v>4</v>
      </c>
      <c r="U888">
        <v>3</v>
      </c>
      <c r="W888" t="s">
        <v>1449</v>
      </c>
      <c r="X888" t="s">
        <v>40</v>
      </c>
      <c r="Y888" t="s">
        <v>40</v>
      </c>
      <c r="AA888">
        <f t="shared" si="54"/>
        <v>31.1</v>
      </c>
      <c r="AB888">
        <v>97.7</v>
      </c>
      <c r="AC888">
        <f t="shared" si="56"/>
        <v>0.74968532350960293</v>
      </c>
      <c r="AI888" t="e">
        <f>IF(Y888="Yes",NA(),#REF!)</f>
        <v>#N/A</v>
      </c>
      <c r="AJ888" t="e">
        <f>IF(Y888="Yes",NA(),#REF!)</f>
        <v>#N/A</v>
      </c>
      <c r="AK888" t="e">
        <f>IF(Y888="Yes",NA(),#REF!)</f>
        <v>#N/A</v>
      </c>
    </row>
    <row r="889" spans="1:37" x14ac:dyDescent="0.35">
      <c r="A889" s="12">
        <v>889</v>
      </c>
      <c r="C889">
        <v>96</v>
      </c>
      <c r="E889" s="2">
        <v>8.5</v>
      </c>
      <c r="F889" s="2">
        <v>9.5</v>
      </c>
      <c r="G889" t="s">
        <v>63</v>
      </c>
      <c r="H889" t="s">
        <v>64</v>
      </c>
      <c r="J889" s="14">
        <f t="shared" si="57"/>
        <v>130.5</v>
      </c>
      <c r="K889">
        <v>1300</v>
      </c>
      <c r="N889" t="s">
        <v>54</v>
      </c>
      <c r="Q889" t="s">
        <v>1450</v>
      </c>
      <c r="W889" t="s">
        <v>1451</v>
      </c>
      <c r="AA889">
        <f t="shared" si="54"/>
        <v>13.05</v>
      </c>
      <c r="AB889">
        <v>41</v>
      </c>
      <c r="AC889">
        <f t="shared" si="56"/>
        <v>0.13202543126711105</v>
      </c>
      <c r="AI889" t="e">
        <f>IF(Y889="Yes",NA(),#REF!)</f>
        <v>#REF!</v>
      </c>
      <c r="AJ889" t="e">
        <f>IF(Y889="Yes",NA(),#REF!)</f>
        <v>#REF!</v>
      </c>
      <c r="AK889" t="e">
        <f>IF(Y889="Yes",NA(),#REF!)</f>
        <v>#REF!</v>
      </c>
    </row>
    <row r="890" spans="1:37" x14ac:dyDescent="0.35">
      <c r="A890" s="12">
        <v>890</v>
      </c>
      <c r="C890">
        <v>96</v>
      </c>
      <c r="E890" s="2">
        <v>2</v>
      </c>
      <c r="F890" s="2">
        <v>6.5</v>
      </c>
      <c r="G890" t="s">
        <v>59</v>
      </c>
      <c r="H890" t="s">
        <v>1520</v>
      </c>
      <c r="J890" s="14">
        <f t="shared" si="57"/>
        <v>125.7</v>
      </c>
      <c r="K890">
        <v>1300</v>
      </c>
      <c r="N890" t="s">
        <v>61</v>
      </c>
      <c r="Q890" t="s">
        <v>55</v>
      </c>
      <c r="U890">
        <v>3</v>
      </c>
      <c r="W890" t="s">
        <v>1452</v>
      </c>
      <c r="X890" t="s">
        <v>40</v>
      </c>
      <c r="Y890" t="s">
        <v>40</v>
      </c>
      <c r="AA890">
        <f t="shared" si="54"/>
        <v>12.57</v>
      </c>
      <c r="AB890">
        <v>39.5</v>
      </c>
      <c r="AC890">
        <f t="shared" si="56"/>
        <v>0.12254174844408687</v>
      </c>
      <c r="AI890" t="e">
        <f>IF(Y890="Yes",NA(),#REF!)</f>
        <v>#N/A</v>
      </c>
      <c r="AJ890" t="e">
        <f>IF(Y890="Yes",NA(),#REF!)</f>
        <v>#N/A</v>
      </c>
      <c r="AK890" t="e">
        <f>IF(Y890="Yes",NA(),#REF!)</f>
        <v>#N/A</v>
      </c>
    </row>
    <row r="891" spans="1:37" x14ac:dyDescent="0.35">
      <c r="A891" s="12">
        <v>891</v>
      </c>
      <c r="C891">
        <v>96</v>
      </c>
      <c r="E891" s="2">
        <v>0.3</v>
      </c>
      <c r="F891" s="2">
        <v>7</v>
      </c>
      <c r="G891" t="s">
        <v>63</v>
      </c>
      <c r="H891" t="s">
        <v>64</v>
      </c>
      <c r="J891" s="14">
        <f t="shared" si="57"/>
        <v>135.29999999999998</v>
      </c>
      <c r="K891">
        <v>1300</v>
      </c>
      <c r="N891" t="s">
        <v>54</v>
      </c>
      <c r="Q891" t="s">
        <v>38</v>
      </c>
      <c r="W891" t="s">
        <v>1453</v>
      </c>
      <c r="AA891">
        <f t="shared" si="54"/>
        <v>13.53</v>
      </c>
      <c r="AB891">
        <v>42.5</v>
      </c>
      <c r="AC891">
        <f t="shared" si="56"/>
        <v>0.1418625432636641</v>
      </c>
      <c r="AI891" t="e">
        <f>IF(Y891="Yes",NA(),#REF!)</f>
        <v>#REF!</v>
      </c>
      <c r="AJ891" t="e">
        <f>IF(Y891="Yes",NA(),#REF!)</f>
        <v>#REF!</v>
      </c>
      <c r="AK891" t="e">
        <f>IF(Y891="Yes",NA(),#REF!)</f>
        <v>#REF!</v>
      </c>
    </row>
    <row r="892" spans="1:37" x14ac:dyDescent="0.35">
      <c r="A892" s="12">
        <v>892</v>
      </c>
      <c r="C892">
        <v>95</v>
      </c>
      <c r="E892" s="23">
        <v>1.5</v>
      </c>
      <c r="F892" s="23">
        <v>4</v>
      </c>
      <c r="G892" t="s">
        <v>886</v>
      </c>
      <c r="H892" t="s">
        <v>887</v>
      </c>
      <c r="J892" s="14">
        <f t="shared" si="57"/>
        <v>164.89999999999998</v>
      </c>
      <c r="K892">
        <v>1300</v>
      </c>
      <c r="N892" t="s">
        <v>54</v>
      </c>
      <c r="Q892">
        <v>4</v>
      </c>
      <c r="W892" t="s">
        <v>1454</v>
      </c>
      <c r="X892" t="s">
        <v>40</v>
      </c>
      <c r="Y892" t="s">
        <v>40</v>
      </c>
      <c r="AA892">
        <f t="shared" si="54"/>
        <v>16.489999999999998</v>
      </c>
      <c r="AB892" s="26">
        <v>51.8</v>
      </c>
      <c r="AC892">
        <f t="shared" si="56"/>
        <v>0.2107411767954569</v>
      </c>
      <c r="AI892" t="e">
        <f>IF(Y892="Yes",NA(),#REF!)</f>
        <v>#N/A</v>
      </c>
      <c r="AJ892" t="e">
        <f>IF(Y892="Yes",NA(),#REF!)</f>
        <v>#N/A</v>
      </c>
      <c r="AK892" t="e">
        <f>IF(Y892="Yes",NA(),#REF!)</f>
        <v>#N/A</v>
      </c>
    </row>
    <row r="893" spans="1:37" x14ac:dyDescent="0.35">
      <c r="A893" s="12">
        <v>893</v>
      </c>
      <c r="C893">
        <v>95</v>
      </c>
      <c r="E893" s="23">
        <v>4</v>
      </c>
      <c r="F893" s="23">
        <v>0.7</v>
      </c>
      <c r="G893" t="s">
        <v>886</v>
      </c>
      <c r="H893" t="s">
        <v>887</v>
      </c>
      <c r="J893" s="14">
        <f t="shared" si="57"/>
        <v>273.7</v>
      </c>
      <c r="K893">
        <v>1300</v>
      </c>
      <c r="N893" t="s">
        <v>54</v>
      </c>
      <c r="Q893">
        <v>5</v>
      </c>
      <c r="W893" t="s">
        <v>1455</v>
      </c>
      <c r="X893" t="s">
        <v>40</v>
      </c>
      <c r="Y893" t="s">
        <v>40</v>
      </c>
      <c r="AA893">
        <f t="shared" si="54"/>
        <v>27.37</v>
      </c>
      <c r="AB893" s="26">
        <v>86</v>
      </c>
      <c r="AC893">
        <f t="shared" si="56"/>
        <v>0.58088048164875272</v>
      </c>
      <c r="AI893" t="e">
        <f>IF(Y893="Yes",NA(),#REF!)</f>
        <v>#N/A</v>
      </c>
      <c r="AJ893" t="e">
        <f>IF(Y893="Yes",NA(),#REF!)</f>
        <v>#N/A</v>
      </c>
      <c r="AK893" t="e">
        <f>IF(Y893="Yes",NA(),#REF!)</f>
        <v>#N/A</v>
      </c>
    </row>
    <row r="894" spans="1:37" x14ac:dyDescent="0.35">
      <c r="A894" s="12">
        <v>894</v>
      </c>
      <c r="C894">
        <v>95</v>
      </c>
      <c r="E894" s="2">
        <v>5</v>
      </c>
      <c r="F894" s="2">
        <v>2</v>
      </c>
      <c r="G894" t="s">
        <v>47</v>
      </c>
      <c r="H894" t="s">
        <v>767</v>
      </c>
      <c r="I894" t="s">
        <v>1456</v>
      </c>
      <c r="J894" s="14">
        <f t="shared" si="57"/>
        <v>117.8</v>
      </c>
      <c r="K894">
        <v>1300</v>
      </c>
      <c r="N894" t="s">
        <v>61</v>
      </c>
      <c r="Q894">
        <v>1</v>
      </c>
      <c r="U894">
        <v>3</v>
      </c>
      <c r="W894" t="s">
        <v>1457</v>
      </c>
      <c r="X894" t="s">
        <v>40</v>
      </c>
      <c r="Y894" t="s">
        <v>40</v>
      </c>
      <c r="AA894">
        <f t="shared" si="54"/>
        <v>11.78</v>
      </c>
      <c r="AB894" s="26">
        <v>37</v>
      </c>
      <c r="AC894">
        <f t="shared" si="56"/>
        <v>0.10752100856911068</v>
      </c>
      <c r="AI894" t="e">
        <f>IF(Y894="Yes",NA(),#REF!)</f>
        <v>#N/A</v>
      </c>
      <c r="AJ894" t="e">
        <f>IF(Y894="Yes",NA(),#REF!)</f>
        <v>#N/A</v>
      </c>
      <c r="AK894" t="e">
        <f>IF(Y894="Yes",NA(),#REF!)</f>
        <v>#N/A</v>
      </c>
    </row>
    <row r="895" spans="1:37" x14ac:dyDescent="0.35">
      <c r="A895" s="12">
        <v>895</v>
      </c>
      <c r="C895">
        <v>95</v>
      </c>
      <c r="E895" s="2">
        <v>8.5</v>
      </c>
      <c r="F895" s="2">
        <v>0.8</v>
      </c>
      <c r="G895" t="s">
        <v>34</v>
      </c>
      <c r="H895" t="s">
        <v>587</v>
      </c>
      <c r="I895" t="s">
        <v>1458</v>
      </c>
      <c r="J895" s="14">
        <f t="shared" si="57"/>
        <v>149.9</v>
      </c>
      <c r="K895">
        <v>1300</v>
      </c>
      <c r="N895" t="s">
        <v>246</v>
      </c>
      <c r="Q895" t="s">
        <v>55</v>
      </c>
      <c r="W895" t="s">
        <v>1459</v>
      </c>
      <c r="X895" t="s">
        <v>40</v>
      </c>
      <c r="Y895" t="s">
        <v>40</v>
      </c>
      <c r="AA895">
        <f t="shared" si="54"/>
        <v>14.99</v>
      </c>
      <c r="AB895">
        <v>47.1</v>
      </c>
      <c r="AC895">
        <f t="shared" si="56"/>
        <v>0.17423351396625333</v>
      </c>
      <c r="AI895" t="e">
        <f>IF(Y895="Yes",NA(),#REF!)</f>
        <v>#N/A</v>
      </c>
      <c r="AJ895" t="e">
        <f>IF(Y895="Yes",NA(),#REF!)</f>
        <v>#N/A</v>
      </c>
      <c r="AK895" t="e">
        <f>IF(Y895="Yes",NA(),#REF!)</f>
        <v>#N/A</v>
      </c>
    </row>
    <row r="896" spans="1:37" x14ac:dyDescent="0.35">
      <c r="A896" s="12">
        <v>896</v>
      </c>
      <c r="C896">
        <v>95</v>
      </c>
      <c r="E896" s="2">
        <v>7</v>
      </c>
      <c r="F896" s="2">
        <v>7</v>
      </c>
      <c r="G896" t="s">
        <v>495</v>
      </c>
      <c r="H896" t="s">
        <v>1190</v>
      </c>
      <c r="J896" s="14">
        <f t="shared" si="57"/>
        <v>131.1</v>
      </c>
      <c r="K896">
        <v>1300</v>
      </c>
      <c r="N896" t="s">
        <v>945</v>
      </c>
      <c r="Q896">
        <v>1</v>
      </c>
      <c r="U896">
        <v>2</v>
      </c>
      <c r="W896" t="s">
        <v>1460</v>
      </c>
      <c r="X896" t="s">
        <v>40</v>
      </c>
      <c r="Y896" t="s">
        <v>40</v>
      </c>
      <c r="AA896">
        <f t="shared" si="54"/>
        <v>13.11</v>
      </c>
      <c r="AB896">
        <v>41.2</v>
      </c>
      <c r="AC896">
        <f t="shared" si="56"/>
        <v>0.13331662584773649</v>
      </c>
      <c r="AI896" t="e">
        <f>IF(Y896="Yes",NA(),#REF!)</f>
        <v>#N/A</v>
      </c>
      <c r="AJ896" t="e">
        <f>IF(Y896="Yes",NA(),#REF!)</f>
        <v>#N/A</v>
      </c>
      <c r="AK896" t="e">
        <f>IF(Y896="Yes",NA(),#REF!)</f>
        <v>#N/A</v>
      </c>
    </row>
    <row r="897" spans="1:37" x14ac:dyDescent="0.35">
      <c r="A897" s="12">
        <v>897</v>
      </c>
      <c r="C897">
        <v>95</v>
      </c>
      <c r="E897" s="2">
        <v>7.1</v>
      </c>
      <c r="F897" s="2">
        <v>7</v>
      </c>
      <c r="G897" t="s">
        <v>495</v>
      </c>
      <c r="H897" t="s">
        <v>1190</v>
      </c>
      <c r="J897" s="14">
        <f t="shared" si="57"/>
        <v>167.39999999999998</v>
      </c>
      <c r="K897">
        <v>1300</v>
      </c>
      <c r="N897" t="s">
        <v>1461</v>
      </c>
      <c r="Q897" t="s">
        <v>934</v>
      </c>
      <c r="W897" t="s">
        <v>1462</v>
      </c>
      <c r="X897" t="s">
        <v>40</v>
      </c>
      <c r="Y897" t="s">
        <v>40</v>
      </c>
      <c r="AA897">
        <f t="shared" si="54"/>
        <v>16.739999999999998</v>
      </c>
      <c r="AB897">
        <v>52.6</v>
      </c>
      <c r="AC897">
        <f t="shared" si="56"/>
        <v>0.21730082225615244</v>
      </c>
      <c r="AI897" t="e">
        <f>IF(Y897="Yes",NA(),#REF!)</f>
        <v>#N/A</v>
      </c>
      <c r="AJ897" t="e">
        <f>IF(Y897="Yes",NA(),#REF!)</f>
        <v>#N/A</v>
      </c>
      <c r="AK897" t="e">
        <f>IF(Y897="Yes",NA(),#REF!)</f>
        <v>#N/A</v>
      </c>
    </row>
    <row r="898" spans="1:37" x14ac:dyDescent="0.35">
      <c r="A898" s="12">
        <v>898</v>
      </c>
      <c r="C898">
        <v>95</v>
      </c>
      <c r="E898" s="2">
        <v>9.8000000000000007</v>
      </c>
      <c r="F898" s="2">
        <v>5.5</v>
      </c>
      <c r="G898" t="s">
        <v>495</v>
      </c>
      <c r="H898" t="s">
        <v>496</v>
      </c>
      <c r="J898" s="14">
        <f t="shared" si="57"/>
        <v>135.29999999999998</v>
      </c>
      <c r="K898">
        <v>1300</v>
      </c>
      <c r="N898" t="s">
        <v>945</v>
      </c>
      <c r="Q898" t="s">
        <v>152</v>
      </c>
      <c r="U898">
        <v>4</v>
      </c>
      <c r="W898" t="s">
        <v>1463</v>
      </c>
      <c r="X898" t="s">
        <v>40</v>
      </c>
      <c r="Y898" t="s">
        <v>40</v>
      </c>
      <c r="Z898" t="s">
        <v>217</v>
      </c>
      <c r="AA898">
        <f t="shared" si="54"/>
        <v>13.53</v>
      </c>
      <c r="AB898">
        <v>42.5</v>
      </c>
      <c r="AC898">
        <f t="shared" si="56"/>
        <v>0.1418625432636641</v>
      </c>
      <c r="AI898" t="e">
        <f>IF(Y898="Yes",NA(),#REF!)</f>
        <v>#N/A</v>
      </c>
      <c r="AJ898" t="e">
        <f>IF(Y898="Yes",NA(),#REF!)</f>
        <v>#N/A</v>
      </c>
      <c r="AK898" t="e">
        <f>IF(Y898="Yes",NA(),#REF!)</f>
        <v>#N/A</v>
      </c>
    </row>
    <row r="899" spans="1:37" x14ac:dyDescent="0.35">
      <c r="A899" s="12">
        <v>899</v>
      </c>
      <c r="C899">
        <v>95</v>
      </c>
      <c r="E899" s="2">
        <v>9.9</v>
      </c>
      <c r="F899" s="2">
        <v>7</v>
      </c>
      <c r="G899" t="s">
        <v>59</v>
      </c>
      <c r="H899" t="s">
        <v>234</v>
      </c>
      <c r="J899" s="14">
        <f t="shared" si="57"/>
        <v>112</v>
      </c>
      <c r="K899">
        <v>1300</v>
      </c>
      <c r="N899" t="s">
        <v>54</v>
      </c>
      <c r="Q899" t="s">
        <v>934</v>
      </c>
      <c r="W899" t="s">
        <v>1464</v>
      </c>
      <c r="X899" t="s">
        <v>40</v>
      </c>
      <c r="Y899" t="s">
        <v>1465</v>
      </c>
      <c r="AA899">
        <f t="shared" ref="AA899:AA938" si="58">ROUND(AB899/PI(), 2)</f>
        <v>11.2</v>
      </c>
      <c r="AB899">
        <v>35.200000000000003</v>
      </c>
      <c r="AC899">
        <f t="shared" si="56"/>
        <v>9.731397403759745E-2</v>
      </c>
      <c r="AI899" t="e">
        <f>IF(Y899="Yes",NA(),#REF!)</f>
        <v>#REF!</v>
      </c>
      <c r="AJ899" t="e">
        <f>IF(Y899="Yes",NA(),#REF!)</f>
        <v>#REF!</v>
      </c>
      <c r="AK899" t="e">
        <f>IF(Y899="Yes",NA(),#REF!)</f>
        <v>#REF!</v>
      </c>
    </row>
    <row r="900" spans="1:37" x14ac:dyDescent="0.35">
      <c r="A900" s="12">
        <v>900</v>
      </c>
      <c r="C900">
        <v>95</v>
      </c>
      <c r="E900" s="23">
        <v>6</v>
      </c>
      <c r="F900" s="23">
        <v>8.8000000000000007</v>
      </c>
      <c r="G900" t="s">
        <v>886</v>
      </c>
      <c r="H900" t="s">
        <v>887</v>
      </c>
      <c r="J900" s="14">
        <f t="shared" si="57"/>
        <v>271.8</v>
      </c>
      <c r="K900">
        <v>1300</v>
      </c>
      <c r="N900" t="s">
        <v>54</v>
      </c>
      <c r="Q900">
        <v>5</v>
      </c>
      <c r="W900" t="s">
        <v>1466</v>
      </c>
      <c r="X900" t="s">
        <v>40</v>
      </c>
      <c r="Y900" t="s">
        <v>40</v>
      </c>
      <c r="AA900">
        <f t="shared" si="58"/>
        <v>27.18</v>
      </c>
      <c r="AB900" s="26">
        <v>85.4</v>
      </c>
      <c r="AC900">
        <f t="shared" si="56"/>
        <v>0.57280344693637342</v>
      </c>
      <c r="AI900" t="e">
        <f>IF(Y900="Yes",NA(),#REF!)</f>
        <v>#N/A</v>
      </c>
      <c r="AJ900" t="e">
        <f>IF(Y900="Yes",NA(),#REF!)</f>
        <v>#N/A</v>
      </c>
      <c r="AK900" t="e">
        <f>IF(Y900="Yes",NA(),#REF!)</f>
        <v>#N/A</v>
      </c>
    </row>
    <row r="901" spans="1:37" x14ac:dyDescent="0.35">
      <c r="A901" s="12">
        <v>901</v>
      </c>
      <c r="C901">
        <v>94</v>
      </c>
      <c r="E901" s="2">
        <v>0.5</v>
      </c>
      <c r="F901" s="2">
        <v>1</v>
      </c>
      <c r="G901" t="s">
        <v>114</v>
      </c>
      <c r="H901" t="s">
        <v>35</v>
      </c>
      <c r="J901" s="14">
        <f t="shared" si="57"/>
        <v>312.60000000000002</v>
      </c>
      <c r="K901">
        <v>1300</v>
      </c>
      <c r="N901" t="s">
        <v>54</v>
      </c>
      <c r="Q901">
        <v>4</v>
      </c>
      <c r="U901">
        <v>4</v>
      </c>
      <c r="W901" t="s">
        <v>1467</v>
      </c>
      <c r="X901" t="s">
        <v>40</v>
      </c>
      <c r="Y901" t="s">
        <v>40</v>
      </c>
      <c r="AA901">
        <f t="shared" si="58"/>
        <v>31.26</v>
      </c>
      <c r="AB901">
        <v>98.2</v>
      </c>
      <c r="AC901">
        <f t="shared" si="56"/>
        <v>0.75737829852008098</v>
      </c>
      <c r="AI901" t="e">
        <f>IF(Y901="Yes",NA(),#REF!)</f>
        <v>#N/A</v>
      </c>
      <c r="AJ901" t="e">
        <f>IF(Y901="Yes",NA(),#REF!)</f>
        <v>#N/A</v>
      </c>
      <c r="AK901" t="e">
        <f>IF(Y901="Yes",NA(),#REF!)</f>
        <v>#N/A</v>
      </c>
    </row>
    <row r="902" spans="1:37" x14ac:dyDescent="0.35">
      <c r="A902" s="12">
        <v>902</v>
      </c>
      <c r="C902">
        <v>94</v>
      </c>
      <c r="E902" s="2">
        <v>3</v>
      </c>
      <c r="F902" s="2">
        <v>4</v>
      </c>
      <c r="G902" t="s">
        <v>63</v>
      </c>
      <c r="H902" t="s">
        <v>64</v>
      </c>
      <c r="J902" s="14">
        <f t="shared" si="57"/>
        <v>109.2</v>
      </c>
      <c r="K902">
        <v>1300</v>
      </c>
      <c r="N902" t="s">
        <v>54</v>
      </c>
      <c r="Q902" t="s">
        <v>934</v>
      </c>
      <c r="W902" t="s">
        <v>1468</v>
      </c>
      <c r="AA902">
        <f t="shared" si="58"/>
        <v>10.92</v>
      </c>
      <c r="AB902">
        <v>34.299999999999997</v>
      </c>
      <c r="AC902">
        <f t="shared" si="56"/>
        <v>9.2401308525546372E-2</v>
      </c>
      <c r="AI902" t="e">
        <f>IF(Y902="Yes",NA(),#REF!)</f>
        <v>#REF!</v>
      </c>
      <c r="AJ902" t="e">
        <f>IF(Y902="Yes",NA(),#REF!)</f>
        <v>#REF!</v>
      </c>
      <c r="AK902" t="e">
        <f>IF(Y902="Yes",NA(),#REF!)</f>
        <v>#REF!</v>
      </c>
    </row>
    <row r="903" spans="1:37" x14ac:dyDescent="0.35">
      <c r="A903" s="12">
        <v>903</v>
      </c>
      <c r="C903">
        <v>94</v>
      </c>
      <c r="E903" s="2">
        <v>5</v>
      </c>
      <c r="F903" s="2">
        <v>2</v>
      </c>
      <c r="G903" t="s">
        <v>70</v>
      </c>
      <c r="H903" t="s">
        <v>161</v>
      </c>
      <c r="I903" t="s">
        <v>1469</v>
      </c>
      <c r="J903" s="14">
        <f t="shared" si="57"/>
        <v>105.39999999999999</v>
      </c>
      <c r="K903">
        <v>1300</v>
      </c>
      <c r="N903" t="s">
        <v>61</v>
      </c>
      <c r="Q903">
        <v>1</v>
      </c>
      <c r="W903" t="s">
        <v>1470</v>
      </c>
      <c r="X903" t="s">
        <v>40</v>
      </c>
      <c r="Y903" t="s">
        <v>40</v>
      </c>
      <c r="AA903">
        <f t="shared" si="58"/>
        <v>10.54</v>
      </c>
      <c r="AB903">
        <v>33.1</v>
      </c>
      <c r="AC903">
        <f t="shared" si="56"/>
        <v>8.604900817998784E-2</v>
      </c>
      <c r="AI903" t="e">
        <f>IF(Y903="Yes",NA(),#REF!)</f>
        <v>#N/A</v>
      </c>
      <c r="AJ903" t="e">
        <f>IF(Y903="Yes",NA(),#REF!)</f>
        <v>#N/A</v>
      </c>
      <c r="AK903" t="e">
        <f>IF(Y903="Yes",NA(),#REF!)</f>
        <v>#N/A</v>
      </c>
    </row>
    <row r="904" spans="1:37" x14ac:dyDescent="0.35">
      <c r="A904" s="12">
        <v>904</v>
      </c>
      <c r="C904">
        <v>94</v>
      </c>
      <c r="E904" s="2">
        <v>9.9</v>
      </c>
      <c r="F904" s="2">
        <v>0.3</v>
      </c>
      <c r="G904" t="s">
        <v>63</v>
      </c>
      <c r="H904" t="s">
        <v>64</v>
      </c>
      <c r="J904" s="14">
        <f t="shared" si="57"/>
        <v>125.39999999999999</v>
      </c>
      <c r="K904">
        <v>1300</v>
      </c>
      <c r="N904" t="s">
        <v>54</v>
      </c>
      <c r="Q904" t="s">
        <v>55</v>
      </c>
      <c r="W904" t="s">
        <v>1471</v>
      </c>
      <c r="AA904">
        <f t="shared" si="58"/>
        <v>12.54</v>
      </c>
      <c r="AB904">
        <v>39.4</v>
      </c>
      <c r="AC904">
        <f t="shared" ref="AC904:AC935" si="59">PI()*(AB904/2)*(AB904/2)/10000</f>
        <v>0.12192206929316626</v>
      </c>
      <c r="AI904" t="e">
        <f>IF(Y904="Yes",NA(),#REF!)</f>
        <v>#REF!</v>
      </c>
      <c r="AJ904" t="e">
        <f>IF(Y904="Yes",NA(),#REF!)</f>
        <v>#REF!</v>
      </c>
      <c r="AK904" t="e">
        <f>IF(Y904="Yes",NA(),#REF!)</f>
        <v>#REF!</v>
      </c>
    </row>
    <row r="905" spans="1:37" x14ac:dyDescent="0.35">
      <c r="A905" s="12">
        <v>905</v>
      </c>
      <c r="C905">
        <v>94</v>
      </c>
      <c r="E905" s="2">
        <v>7</v>
      </c>
      <c r="F905" s="2">
        <v>6.5</v>
      </c>
      <c r="G905" t="s">
        <v>76</v>
      </c>
      <c r="H905" t="s">
        <v>77</v>
      </c>
      <c r="J905" s="14">
        <f t="shared" si="57"/>
        <v>202.39999999999998</v>
      </c>
      <c r="K905">
        <v>1300</v>
      </c>
      <c r="N905" t="s">
        <v>218</v>
      </c>
      <c r="Q905">
        <v>4</v>
      </c>
      <c r="W905" t="s">
        <v>1472</v>
      </c>
      <c r="X905" t="s">
        <v>40</v>
      </c>
      <c r="Y905" t="s">
        <v>40</v>
      </c>
      <c r="AA905">
        <f t="shared" si="58"/>
        <v>20.239999999999998</v>
      </c>
      <c r="AB905">
        <v>63.6</v>
      </c>
      <c r="AC905">
        <f t="shared" si="59"/>
        <v>0.31769041550161425</v>
      </c>
      <c r="AI905" t="e">
        <f>IF(Y905="Yes",NA(),#REF!)</f>
        <v>#N/A</v>
      </c>
      <c r="AJ905" t="e">
        <f>IF(Y905="Yes",NA(),#REF!)</f>
        <v>#N/A</v>
      </c>
      <c r="AK905" t="e">
        <f>IF(Y905="Yes",NA(),#REF!)</f>
        <v>#N/A</v>
      </c>
    </row>
    <row r="906" spans="1:37" x14ac:dyDescent="0.35">
      <c r="A906" s="12">
        <v>906</v>
      </c>
      <c r="C906">
        <v>93</v>
      </c>
      <c r="E906" s="2">
        <v>1</v>
      </c>
      <c r="F906" s="2">
        <v>1.5</v>
      </c>
      <c r="G906" t="s">
        <v>114</v>
      </c>
      <c r="H906" t="s">
        <v>35</v>
      </c>
      <c r="J906" s="14">
        <f t="shared" si="57"/>
        <v>121.89999999999999</v>
      </c>
      <c r="K906">
        <v>1300</v>
      </c>
      <c r="N906" t="s">
        <v>37</v>
      </c>
      <c r="Q906" t="s">
        <v>152</v>
      </c>
      <c r="U906">
        <v>4</v>
      </c>
      <c r="W906" t="s">
        <v>1473</v>
      </c>
      <c r="X906" t="s">
        <v>40</v>
      </c>
      <c r="Y906" t="s">
        <v>40</v>
      </c>
      <c r="AA906">
        <f t="shared" si="58"/>
        <v>12.19</v>
      </c>
      <c r="AB906">
        <v>38.299999999999997</v>
      </c>
      <c r="AC906">
        <f t="shared" si="59"/>
        <v>0.11520927119060827</v>
      </c>
      <c r="AI906" t="e">
        <f>IF(Y906="Yes",NA(),#REF!)</f>
        <v>#N/A</v>
      </c>
      <c r="AJ906" t="e">
        <f>IF(Y906="Yes",NA(),#REF!)</f>
        <v>#N/A</v>
      </c>
      <c r="AK906" t="e">
        <f>IF(Y906="Yes",NA(),#REF!)</f>
        <v>#N/A</v>
      </c>
    </row>
    <row r="907" spans="1:37" x14ac:dyDescent="0.35">
      <c r="A907" s="12">
        <v>907</v>
      </c>
      <c r="C907">
        <v>93</v>
      </c>
      <c r="E907" s="2">
        <v>2</v>
      </c>
      <c r="F907" s="2">
        <v>3</v>
      </c>
      <c r="G907" t="s">
        <v>137</v>
      </c>
      <c r="H907" t="s">
        <v>138</v>
      </c>
      <c r="J907" s="14">
        <f t="shared" si="57"/>
        <v>100.3</v>
      </c>
      <c r="K907">
        <v>1300</v>
      </c>
      <c r="N907" t="s">
        <v>54</v>
      </c>
      <c r="Q907">
        <v>1</v>
      </c>
      <c r="U907">
        <v>2</v>
      </c>
      <c r="W907" t="s">
        <v>1474</v>
      </c>
      <c r="X907" t="s">
        <v>40</v>
      </c>
      <c r="Y907" t="s">
        <v>40</v>
      </c>
      <c r="AA907">
        <f t="shared" si="58"/>
        <v>10.029999999999999</v>
      </c>
      <c r="AB907">
        <v>31.5</v>
      </c>
      <c r="AC907">
        <f t="shared" si="59"/>
        <v>7.793113276311181E-2</v>
      </c>
      <c r="AI907" t="e">
        <f>IF(Y907="Yes",NA(),#REF!)</f>
        <v>#N/A</v>
      </c>
      <c r="AJ907" t="e">
        <f>IF(Y907="Yes",NA(),#REF!)</f>
        <v>#N/A</v>
      </c>
      <c r="AK907" t="e">
        <f>IF(Y907="Yes",NA(),#REF!)</f>
        <v>#N/A</v>
      </c>
    </row>
    <row r="908" spans="1:37" x14ac:dyDescent="0.35">
      <c r="A908" s="12">
        <v>908</v>
      </c>
      <c r="C908">
        <v>93</v>
      </c>
      <c r="E908" s="2">
        <v>3</v>
      </c>
      <c r="F908" s="2">
        <v>3.5</v>
      </c>
      <c r="G908" t="s">
        <v>63</v>
      </c>
      <c r="H908" t="s">
        <v>64</v>
      </c>
      <c r="J908" s="14">
        <f t="shared" si="57"/>
        <v>118.69999999999999</v>
      </c>
      <c r="K908">
        <v>1300</v>
      </c>
      <c r="N908" t="s">
        <v>54</v>
      </c>
      <c r="Q908" t="s">
        <v>934</v>
      </c>
      <c r="W908" t="s">
        <v>1475</v>
      </c>
      <c r="AA908">
        <f t="shared" si="58"/>
        <v>11.87</v>
      </c>
      <c r="AB908">
        <v>37.299999999999997</v>
      </c>
      <c r="AC908">
        <f t="shared" si="59"/>
        <v>0.10927166107532357</v>
      </c>
      <c r="AI908" t="e">
        <f>IF(Y908="Yes",NA(),#REF!)</f>
        <v>#REF!</v>
      </c>
      <c r="AJ908" t="e">
        <f>IF(Y908="Yes",NA(),#REF!)</f>
        <v>#REF!</v>
      </c>
      <c r="AK908" t="e">
        <f>IF(Y908="Yes",NA(),#REF!)</f>
        <v>#REF!</v>
      </c>
    </row>
    <row r="909" spans="1:37" x14ac:dyDescent="0.35">
      <c r="A909" s="12">
        <v>909</v>
      </c>
      <c r="C909">
        <v>93</v>
      </c>
      <c r="E909" s="2">
        <v>3.3</v>
      </c>
      <c r="F909" s="2">
        <v>4.5</v>
      </c>
      <c r="G909" t="s">
        <v>63</v>
      </c>
      <c r="H909" t="s">
        <v>64</v>
      </c>
      <c r="J909" s="14">
        <f t="shared" si="57"/>
        <v>122.2</v>
      </c>
      <c r="K909">
        <v>1300</v>
      </c>
      <c r="N909" t="s">
        <v>54</v>
      </c>
      <c r="Q909" t="s">
        <v>38</v>
      </c>
      <c r="W909" t="s">
        <v>1476</v>
      </c>
      <c r="AA909">
        <f t="shared" si="58"/>
        <v>12.22</v>
      </c>
      <c r="AB909">
        <v>38.4</v>
      </c>
      <c r="AC909">
        <f t="shared" si="59"/>
        <v>0.11581167158193414</v>
      </c>
      <c r="AI909" t="e">
        <f>IF(Y909="Yes",NA(),#REF!)</f>
        <v>#REF!</v>
      </c>
      <c r="AJ909" t="e">
        <f>IF(Y909="Yes",NA(),#REF!)</f>
        <v>#REF!</v>
      </c>
      <c r="AK909" t="e">
        <f>IF(Y909="Yes",NA(),#REF!)</f>
        <v>#REF!</v>
      </c>
    </row>
    <row r="910" spans="1:37" x14ac:dyDescent="0.35">
      <c r="A910" s="12">
        <v>910</v>
      </c>
      <c r="C910">
        <v>93</v>
      </c>
      <c r="E910" s="2">
        <v>3</v>
      </c>
      <c r="F910" s="2">
        <v>6</v>
      </c>
      <c r="G910" t="s">
        <v>47</v>
      </c>
      <c r="H910" t="s">
        <v>636</v>
      </c>
      <c r="J910" s="14">
        <f t="shared" si="57"/>
        <v>142</v>
      </c>
      <c r="K910">
        <v>1300</v>
      </c>
      <c r="N910" t="s">
        <v>54</v>
      </c>
      <c r="Q910" t="s">
        <v>38</v>
      </c>
      <c r="W910" t="s">
        <v>1477</v>
      </c>
      <c r="X910" t="s">
        <v>40</v>
      </c>
      <c r="Y910" t="s">
        <v>40</v>
      </c>
      <c r="AA910">
        <f t="shared" si="58"/>
        <v>14.2</v>
      </c>
      <c r="AB910">
        <v>44.6</v>
      </c>
      <c r="AC910">
        <f t="shared" si="59"/>
        <v>0.15622826107036683</v>
      </c>
      <c r="AI910" t="e">
        <f>IF(Y910="Yes",NA(),#REF!)</f>
        <v>#N/A</v>
      </c>
      <c r="AJ910" t="e">
        <f>IF(Y910="Yes",NA(),#REF!)</f>
        <v>#N/A</v>
      </c>
      <c r="AK910" t="e">
        <f>IF(Y910="Yes",NA(),#REF!)</f>
        <v>#N/A</v>
      </c>
    </row>
    <row r="911" spans="1:37" x14ac:dyDescent="0.35">
      <c r="A911" s="12">
        <v>911</v>
      </c>
      <c r="C911">
        <v>93</v>
      </c>
      <c r="E911" s="2">
        <v>6.5</v>
      </c>
      <c r="F911" s="2">
        <v>8.5</v>
      </c>
      <c r="G911" t="s">
        <v>1296</v>
      </c>
      <c r="H911" t="s">
        <v>35</v>
      </c>
      <c r="J911" s="14">
        <f t="shared" si="57"/>
        <v>150.19999999999999</v>
      </c>
      <c r="K911">
        <v>1300</v>
      </c>
      <c r="N911" t="s">
        <v>54</v>
      </c>
      <c r="Q911" t="s">
        <v>38</v>
      </c>
      <c r="W911" t="s">
        <v>1478</v>
      </c>
      <c r="X911" t="s">
        <v>40</v>
      </c>
      <c r="Y911" t="s">
        <v>40</v>
      </c>
      <c r="AA911">
        <f t="shared" si="58"/>
        <v>15.02</v>
      </c>
      <c r="AB911">
        <v>47.2</v>
      </c>
      <c r="AC911">
        <f t="shared" si="59"/>
        <v>0.17497414443433715</v>
      </c>
      <c r="AI911" t="e">
        <f>IF(Y911="Yes",NA(),#REF!)</f>
        <v>#N/A</v>
      </c>
      <c r="AJ911" t="e">
        <f>IF(Y911="Yes",NA(),#REF!)</f>
        <v>#N/A</v>
      </c>
      <c r="AK911" t="e">
        <f>IF(Y911="Yes",NA(),#REF!)</f>
        <v>#N/A</v>
      </c>
    </row>
    <row r="912" spans="1:37" x14ac:dyDescent="0.35">
      <c r="A912" s="12">
        <v>912</v>
      </c>
      <c r="C912">
        <v>92</v>
      </c>
      <c r="E912" s="23">
        <v>0.1</v>
      </c>
      <c r="F912" s="23">
        <v>1.8</v>
      </c>
      <c r="G912" t="s">
        <v>231</v>
      </c>
      <c r="H912" t="s">
        <v>232</v>
      </c>
      <c r="J912" s="14">
        <f t="shared" si="57"/>
        <v>142</v>
      </c>
      <c r="K912">
        <v>1300</v>
      </c>
      <c r="N912" t="s">
        <v>1479</v>
      </c>
      <c r="Q912" t="s">
        <v>38</v>
      </c>
      <c r="W912" t="s">
        <v>1480</v>
      </c>
      <c r="X912" t="s">
        <v>40</v>
      </c>
      <c r="Y912" t="s">
        <v>40</v>
      </c>
      <c r="AA912">
        <f t="shared" si="58"/>
        <v>14.2</v>
      </c>
      <c r="AB912" s="26">
        <v>44.6</v>
      </c>
      <c r="AC912">
        <f t="shared" si="59"/>
        <v>0.15622826107036683</v>
      </c>
      <c r="AI912" t="e">
        <f>IF(Y912="Yes",NA(),#REF!)</f>
        <v>#N/A</v>
      </c>
      <c r="AJ912" t="e">
        <f>IF(Y912="Yes",NA(),#REF!)</f>
        <v>#N/A</v>
      </c>
      <c r="AK912" t="e">
        <f>IF(Y912="Yes",NA(),#REF!)</f>
        <v>#N/A</v>
      </c>
    </row>
    <row r="913" spans="1:37" x14ac:dyDescent="0.35">
      <c r="A913" s="12">
        <v>913</v>
      </c>
      <c r="C913">
        <v>92</v>
      </c>
      <c r="E913" s="2">
        <v>8</v>
      </c>
      <c r="F913" s="2">
        <v>6</v>
      </c>
      <c r="G913" t="s">
        <v>63</v>
      </c>
      <c r="H913" t="s">
        <v>64</v>
      </c>
      <c r="J913" s="14">
        <f t="shared" si="57"/>
        <v>114</v>
      </c>
      <c r="K913">
        <v>1300</v>
      </c>
      <c r="N913" t="s">
        <v>54</v>
      </c>
      <c r="Q913" t="s">
        <v>55</v>
      </c>
      <c r="W913" t="s">
        <v>1481</v>
      </c>
      <c r="AA913">
        <f t="shared" si="58"/>
        <v>11.4</v>
      </c>
      <c r="AB913">
        <v>35.799999999999997</v>
      </c>
      <c r="AC913">
        <f t="shared" si="59"/>
        <v>0.10065977021367055</v>
      </c>
      <c r="AI913" t="e">
        <f>IF(Y913="Yes",NA(),#REF!)</f>
        <v>#REF!</v>
      </c>
      <c r="AJ913" t="e">
        <f>IF(Y913="Yes",NA(),#REF!)</f>
        <v>#REF!</v>
      </c>
      <c r="AK913" t="e">
        <f>IF(Y913="Yes",NA(),#REF!)</f>
        <v>#REF!</v>
      </c>
    </row>
    <row r="914" spans="1:37" x14ac:dyDescent="0.35">
      <c r="A914" s="12">
        <v>914</v>
      </c>
      <c r="C914">
        <v>92</v>
      </c>
      <c r="E914" s="2">
        <v>8</v>
      </c>
      <c r="F914" s="2">
        <v>7</v>
      </c>
      <c r="G914" t="s">
        <v>42</v>
      </c>
      <c r="H914" t="s">
        <v>35</v>
      </c>
      <c r="J914" s="14">
        <f t="shared" si="57"/>
        <v>115.5</v>
      </c>
      <c r="K914">
        <v>1300</v>
      </c>
      <c r="N914" t="s">
        <v>61</v>
      </c>
      <c r="Q914" t="s">
        <v>934</v>
      </c>
      <c r="W914" t="s">
        <v>1482</v>
      </c>
      <c r="X914" t="s">
        <v>40</v>
      </c>
      <c r="Y914" t="s">
        <v>40</v>
      </c>
      <c r="AA914">
        <f t="shared" si="58"/>
        <v>11.55</v>
      </c>
      <c r="AB914">
        <v>36.299999999999997</v>
      </c>
      <c r="AC914">
        <f t="shared" si="59"/>
        <v>0.10349113059271836</v>
      </c>
      <c r="AI914" t="e">
        <f>IF(Y914="Yes",NA(),#REF!)</f>
        <v>#N/A</v>
      </c>
      <c r="AJ914" t="e">
        <f>IF(Y914="Yes",NA(),#REF!)</f>
        <v>#N/A</v>
      </c>
      <c r="AK914" t="e">
        <f>IF(Y914="Yes",NA(),#REF!)</f>
        <v>#N/A</v>
      </c>
    </row>
    <row r="915" spans="1:37" x14ac:dyDescent="0.35">
      <c r="A915" s="12">
        <v>915</v>
      </c>
      <c r="C915">
        <v>92</v>
      </c>
      <c r="E915" s="2">
        <v>3</v>
      </c>
      <c r="F915" s="2">
        <v>5</v>
      </c>
      <c r="G915" t="s">
        <v>66</v>
      </c>
      <c r="H915" t="s">
        <v>237</v>
      </c>
      <c r="J915" s="14">
        <f t="shared" si="57"/>
        <v>178.29999999999998</v>
      </c>
      <c r="K915">
        <v>1300</v>
      </c>
      <c r="N915" t="s">
        <v>1483</v>
      </c>
      <c r="Q915" t="s">
        <v>55</v>
      </c>
      <c r="W915" t="s">
        <v>1484</v>
      </c>
      <c r="X915" t="s">
        <v>40</v>
      </c>
      <c r="Y915" t="s">
        <v>40</v>
      </c>
      <c r="Z915" t="s">
        <v>1485</v>
      </c>
      <c r="AA915">
        <f t="shared" si="58"/>
        <v>17.829999999999998</v>
      </c>
      <c r="AB915">
        <v>56</v>
      </c>
      <c r="AC915">
        <f t="shared" si="59"/>
        <v>0.24630086404143978</v>
      </c>
      <c r="AI915" t="e">
        <f>IF(Y915="Yes",NA(),#REF!)</f>
        <v>#N/A</v>
      </c>
      <c r="AJ915" t="e">
        <f>IF(Y915="Yes",NA(),#REF!)</f>
        <v>#N/A</v>
      </c>
      <c r="AK915" t="e">
        <f>IF(Y915="Yes",NA(),#REF!)</f>
        <v>#N/A</v>
      </c>
    </row>
    <row r="916" spans="1:37" x14ac:dyDescent="0.35">
      <c r="A916" s="12">
        <v>916</v>
      </c>
      <c r="C916">
        <v>92</v>
      </c>
      <c r="E916" s="2">
        <v>1.5</v>
      </c>
      <c r="F916" s="2">
        <v>5</v>
      </c>
      <c r="G916" t="s">
        <v>34</v>
      </c>
      <c r="H916" t="s">
        <v>35</v>
      </c>
      <c r="J916" s="14">
        <f t="shared" si="57"/>
        <v>222.2</v>
      </c>
      <c r="K916">
        <v>1300</v>
      </c>
      <c r="N916" t="s">
        <v>37</v>
      </c>
      <c r="Q916" t="s">
        <v>38</v>
      </c>
      <c r="W916" t="s">
        <v>1486</v>
      </c>
      <c r="X916" t="s">
        <v>40</v>
      </c>
      <c r="Y916" t="s">
        <v>40</v>
      </c>
      <c r="AA916">
        <f t="shared" si="58"/>
        <v>22.22</v>
      </c>
      <c r="AB916">
        <v>69.8</v>
      </c>
      <c r="AC916">
        <f t="shared" si="59"/>
        <v>0.38264912679989033</v>
      </c>
      <c r="AI916" t="e">
        <f>IF(Y916="Yes",NA(),#REF!)</f>
        <v>#N/A</v>
      </c>
      <c r="AJ916" t="e">
        <f>IF(Y916="Yes",NA(),#REF!)</f>
        <v>#N/A</v>
      </c>
      <c r="AK916" t="e">
        <f>IF(Y916="Yes",NA(),#REF!)</f>
        <v>#N/A</v>
      </c>
    </row>
    <row r="917" spans="1:37" x14ac:dyDescent="0.35">
      <c r="A917" s="12">
        <v>917</v>
      </c>
      <c r="C917">
        <v>92</v>
      </c>
      <c r="E917" s="2">
        <v>5.2</v>
      </c>
      <c r="F917" s="2">
        <v>8.5</v>
      </c>
      <c r="G917" t="s">
        <v>42</v>
      </c>
      <c r="H917" t="s">
        <v>116</v>
      </c>
      <c r="J917" s="14">
        <f t="shared" si="57"/>
        <v>119.7</v>
      </c>
      <c r="K917">
        <v>1300</v>
      </c>
      <c r="N917" t="s">
        <v>54</v>
      </c>
      <c r="Q917" t="s">
        <v>38</v>
      </c>
      <c r="U917">
        <v>3</v>
      </c>
      <c r="W917" t="s">
        <v>1487</v>
      </c>
      <c r="X917" t="s">
        <v>40</v>
      </c>
      <c r="Y917" t="s">
        <v>40</v>
      </c>
      <c r="AA917">
        <f t="shared" si="58"/>
        <v>11.97</v>
      </c>
      <c r="AB917">
        <v>37.6</v>
      </c>
      <c r="AC917">
        <f t="shared" si="59"/>
        <v>0.11103645074847766</v>
      </c>
      <c r="AI917" t="e">
        <f>IF(Y917="Yes",NA(),#REF!)</f>
        <v>#N/A</v>
      </c>
      <c r="AJ917" t="e">
        <f>IF(Y917="Yes",NA(),#REF!)</f>
        <v>#N/A</v>
      </c>
      <c r="AK917" t="e">
        <f>IF(Y917="Yes",NA(),#REF!)</f>
        <v>#N/A</v>
      </c>
    </row>
    <row r="918" spans="1:37" x14ac:dyDescent="0.35">
      <c r="A918" s="12">
        <v>918</v>
      </c>
      <c r="C918">
        <v>92</v>
      </c>
      <c r="E918" s="2">
        <v>5</v>
      </c>
      <c r="F918" s="2">
        <v>8</v>
      </c>
      <c r="G918" t="s">
        <v>47</v>
      </c>
      <c r="H918" t="s">
        <v>216</v>
      </c>
      <c r="J918" s="14">
        <f t="shared" si="57"/>
        <v>126.1</v>
      </c>
      <c r="K918">
        <v>1300</v>
      </c>
      <c r="N918" t="s">
        <v>54</v>
      </c>
      <c r="Q918" t="s">
        <v>55</v>
      </c>
      <c r="U918">
        <v>4</v>
      </c>
      <c r="W918" t="s">
        <v>1488</v>
      </c>
      <c r="X918" t="s">
        <v>40</v>
      </c>
      <c r="Y918" t="s">
        <v>40</v>
      </c>
      <c r="AA918">
        <f t="shared" si="58"/>
        <v>12.61</v>
      </c>
      <c r="AB918" s="26">
        <v>39.6</v>
      </c>
      <c r="AC918">
        <f t="shared" si="59"/>
        <v>0.12316299839133425</v>
      </c>
      <c r="AI918" t="e">
        <f>IF(Y918="Yes",NA(),#REF!)</f>
        <v>#N/A</v>
      </c>
      <c r="AJ918" t="e">
        <f>IF(Y918="Yes",NA(),#REF!)</f>
        <v>#N/A</v>
      </c>
      <c r="AK918" t="e">
        <f>IF(Y918="Yes",NA(),#REF!)</f>
        <v>#N/A</v>
      </c>
    </row>
    <row r="919" spans="1:37" x14ac:dyDescent="0.35">
      <c r="A919" s="12">
        <v>919</v>
      </c>
      <c r="C919">
        <v>92</v>
      </c>
      <c r="E919" s="2">
        <v>2</v>
      </c>
      <c r="F919" s="2">
        <v>6</v>
      </c>
      <c r="G919" t="s">
        <v>381</v>
      </c>
      <c r="H919" t="s">
        <v>382</v>
      </c>
      <c r="J919" s="14">
        <f t="shared" si="57"/>
        <v>280.10000000000002</v>
      </c>
      <c r="K919">
        <v>1300</v>
      </c>
      <c r="N919" t="s">
        <v>37</v>
      </c>
      <c r="Q919">
        <v>5</v>
      </c>
      <c r="W919" t="s">
        <v>1489</v>
      </c>
      <c r="X919" t="s">
        <v>40</v>
      </c>
      <c r="Y919" t="s">
        <v>40</v>
      </c>
      <c r="AA919">
        <f t="shared" si="58"/>
        <v>28.01</v>
      </c>
      <c r="AB919">
        <v>88</v>
      </c>
      <c r="AC919">
        <f t="shared" si="59"/>
        <v>0.60821233773498384</v>
      </c>
      <c r="AI919" t="e">
        <f>IF(Y919="Yes",NA(),#REF!)</f>
        <v>#N/A</v>
      </c>
      <c r="AJ919" t="e">
        <f>IF(Y919="Yes",NA(),#REF!)</f>
        <v>#N/A</v>
      </c>
      <c r="AK919" t="e">
        <f>IF(Y919="Yes",NA(),#REF!)</f>
        <v>#N/A</v>
      </c>
    </row>
    <row r="920" spans="1:37" x14ac:dyDescent="0.35">
      <c r="A920" s="12">
        <v>920</v>
      </c>
      <c r="C920">
        <v>91</v>
      </c>
      <c r="E920" s="2">
        <v>0.5</v>
      </c>
      <c r="F920" s="2">
        <v>4.5</v>
      </c>
      <c r="G920" t="s">
        <v>42</v>
      </c>
      <c r="H920" t="s">
        <v>43</v>
      </c>
      <c r="J920" s="14">
        <f t="shared" si="57"/>
        <v>112.4</v>
      </c>
      <c r="K920">
        <v>1300</v>
      </c>
      <c r="N920" t="s">
        <v>54</v>
      </c>
      <c r="Q920" t="s">
        <v>38</v>
      </c>
      <c r="W920" t="s">
        <v>1490</v>
      </c>
      <c r="X920" t="s">
        <v>40</v>
      </c>
      <c r="Y920" t="s">
        <v>40</v>
      </c>
      <c r="AA920">
        <f t="shared" si="58"/>
        <v>11.24</v>
      </c>
      <c r="AB920">
        <v>35.299999999999997</v>
      </c>
      <c r="AC920">
        <f t="shared" si="59"/>
        <v>9.7867679742792604E-2</v>
      </c>
      <c r="AI920" t="e">
        <f>IF(Y920="Yes",NA(),#REF!)</f>
        <v>#N/A</v>
      </c>
      <c r="AJ920" t="e">
        <f>IF(Y920="Yes",NA(),#REF!)</f>
        <v>#N/A</v>
      </c>
      <c r="AK920" t="e">
        <f>IF(Y920="Yes",NA(),#REF!)</f>
        <v>#N/A</v>
      </c>
    </row>
    <row r="921" spans="1:37" x14ac:dyDescent="0.35">
      <c r="A921" s="12">
        <v>921</v>
      </c>
      <c r="C921">
        <v>91</v>
      </c>
      <c r="E921" s="2">
        <v>6</v>
      </c>
      <c r="F921" s="2">
        <v>0.3</v>
      </c>
      <c r="G921" t="s">
        <v>242</v>
      </c>
      <c r="H921" t="s">
        <v>243</v>
      </c>
      <c r="J921" s="14">
        <f t="shared" si="57"/>
        <v>120.60000000000001</v>
      </c>
      <c r="K921">
        <v>1300</v>
      </c>
      <c r="N921" t="s">
        <v>54</v>
      </c>
      <c r="Q921" t="s">
        <v>38</v>
      </c>
      <c r="W921" t="s">
        <v>1491</v>
      </c>
      <c r="X921" t="s">
        <v>40</v>
      </c>
      <c r="Y921" t="s">
        <v>40</v>
      </c>
      <c r="Z921" t="s">
        <v>1492</v>
      </c>
      <c r="AA921">
        <f t="shared" si="58"/>
        <v>12.06</v>
      </c>
      <c r="AB921" s="26">
        <v>37.9</v>
      </c>
      <c r="AC921">
        <f t="shared" si="59"/>
        <v>0.11281537758857285</v>
      </c>
      <c r="AI921" t="e">
        <f>IF(Y921="Yes",NA(),#REF!)</f>
        <v>#N/A</v>
      </c>
      <c r="AJ921" t="e">
        <f>IF(Y921="Yes",NA(),#REF!)</f>
        <v>#N/A</v>
      </c>
      <c r="AK921" t="e">
        <f>IF(Y921="Yes",NA(),#REF!)</f>
        <v>#N/A</v>
      </c>
    </row>
    <row r="922" spans="1:37" x14ac:dyDescent="0.35">
      <c r="A922" s="12">
        <v>922</v>
      </c>
      <c r="C922">
        <v>91</v>
      </c>
      <c r="E922" s="2">
        <v>7.5</v>
      </c>
      <c r="F922" s="2">
        <v>2.5</v>
      </c>
      <c r="G922" t="s">
        <v>59</v>
      </c>
      <c r="H922" t="s">
        <v>1493</v>
      </c>
      <c r="J922" s="14">
        <f t="shared" si="57"/>
        <v>167.10000000000002</v>
      </c>
      <c r="K922">
        <v>1300</v>
      </c>
      <c r="N922" t="s">
        <v>54</v>
      </c>
      <c r="Q922">
        <v>4</v>
      </c>
      <c r="U922">
        <v>4</v>
      </c>
      <c r="W922" t="s">
        <v>1494</v>
      </c>
      <c r="X922" t="s">
        <v>40</v>
      </c>
      <c r="Y922" t="s">
        <v>40</v>
      </c>
      <c r="Z922" t="s">
        <v>1495</v>
      </c>
      <c r="AA922">
        <f t="shared" si="58"/>
        <v>16.71</v>
      </c>
      <c r="AB922">
        <v>52.5</v>
      </c>
      <c r="AC922">
        <f t="shared" si="59"/>
        <v>0.21647536878642168</v>
      </c>
      <c r="AI922" t="e">
        <f>IF(Y922="Yes",NA(),#REF!)</f>
        <v>#N/A</v>
      </c>
      <c r="AJ922" t="e">
        <f>IF(Y922="Yes",NA(),#REF!)</f>
        <v>#N/A</v>
      </c>
      <c r="AK922" t="e">
        <f>IF(Y922="Yes",NA(),#REF!)</f>
        <v>#N/A</v>
      </c>
    </row>
    <row r="923" spans="1:37" x14ac:dyDescent="0.35">
      <c r="A923" s="12">
        <v>923</v>
      </c>
      <c r="C923">
        <v>91</v>
      </c>
      <c r="E923" s="2">
        <v>9.5</v>
      </c>
      <c r="F923" s="2">
        <v>1.8</v>
      </c>
      <c r="G923" t="s">
        <v>34</v>
      </c>
      <c r="H923" t="s">
        <v>35</v>
      </c>
      <c r="J923" s="14">
        <f t="shared" si="57"/>
        <v>201.20000000000002</v>
      </c>
      <c r="K923">
        <v>1300</v>
      </c>
      <c r="N923" t="s">
        <v>54</v>
      </c>
      <c r="Q923">
        <v>5</v>
      </c>
      <c r="W923" t="s">
        <v>1496</v>
      </c>
      <c r="X923" t="s">
        <v>40</v>
      </c>
      <c r="Y923" t="s">
        <v>40</v>
      </c>
      <c r="AA923">
        <f t="shared" si="58"/>
        <v>20.12</v>
      </c>
      <c r="AB923">
        <v>63.2</v>
      </c>
      <c r="AC923">
        <f t="shared" si="59"/>
        <v>0.31370687601686242</v>
      </c>
      <c r="AI923" t="e">
        <f>IF(Y923="Yes",NA(),#REF!)</f>
        <v>#N/A</v>
      </c>
      <c r="AJ923" t="e">
        <f>IF(Y923="Yes",NA(),#REF!)</f>
        <v>#N/A</v>
      </c>
      <c r="AK923" t="e">
        <f>IF(Y923="Yes",NA(),#REF!)</f>
        <v>#N/A</v>
      </c>
    </row>
    <row r="924" spans="1:37" x14ac:dyDescent="0.35">
      <c r="A924" s="12">
        <v>924</v>
      </c>
      <c r="C924">
        <v>91</v>
      </c>
      <c r="E924" s="23">
        <v>9.5</v>
      </c>
      <c r="F924" s="23">
        <v>2.8</v>
      </c>
      <c r="G924" t="s">
        <v>886</v>
      </c>
      <c r="H924" t="s">
        <v>887</v>
      </c>
      <c r="J924" s="14">
        <f t="shared" si="57"/>
        <v>106</v>
      </c>
      <c r="K924">
        <v>1300</v>
      </c>
      <c r="N924" t="s">
        <v>61</v>
      </c>
      <c r="Q924" t="s">
        <v>38</v>
      </c>
      <c r="W924" t="s">
        <v>1497</v>
      </c>
      <c r="X924" t="s">
        <v>40</v>
      </c>
      <c r="Y924" t="s">
        <v>40</v>
      </c>
      <c r="AA924">
        <f t="shared" si="58"/>
        <v>10.6</v>
      </c>
      <c r="AB924" s="26">
        <v>33.299999999999997</v>
      </c>
      <c r="AC924">
        <f t="shared" si="59"/>
        <v>8.7092016940979636E-2</v>
      </c>
      <c r="AI924" t="e">
        <f>IF(Y924="Yes",NA(),#REF!)</f>
        <v>#N/A</v>
      </c>
      <c r="AJ924" t="e">
        <f>IF(Y924="Yes",NA(),#REF!)</f>
        <v>#N/A</v>
      </c>
      <c r="AK924" t="e">
        <f>IF(Y924="Yes",NA(),#REF!)</f>
        <v>#N/A</v>
      </c>
    </row>
    <row r="925" spans="1:37" x14ac:dyDescent="0.35">
      <c r="A925" s="12">
        <v>925</v>
      </c>
      <c r="C925">
        <v>91</v>
      </c>
      <c r="E925" s="2">
        <v>9.1999999999999993</v>
      </c>
      <c r="F925" s="2">
        <v>3</v>
      </c>
      <c r="G925" t="s">
        <v>47</v>
      </c>
      <c r="H925" t="s">
        <v>35</v>
      </c>
      <c r="J925" s="14">
        <f t="shared" si="57"/>
        <v>285.2</v>
      </c>
      <c r="K925">
        <v>1300</v>
      </c>
      <c r="N925" t="s">
        <v>37</v>
      </c>
      <c r="Q925">
        <v>5</v>
      </c>
      <c r="W925" t="s">
        <v>1498</v>
      </c>
      <c r="X925" t="s">
        <v>40</v>
      </c>
      <c r="Y925" t="s">
        <v>40</v>
      </c>
      <c r="AA925">
        <f t="shared" si="58"/>
        <v>28.52</v>
      </c>
      <c r="AB925">
        <v>89.6</v>
      </c>
      <c r="AC925">
        <f t="shared" si="59"/>
        <v>0.63053021194608583</v>
      </c>
      <c r="AI925" t="e">
        <f>IF(Y925="Yes",NA(),#REF!)</f>
        <v>#N/A</v>
      </c>
      <c r="AJ925" t="e">
        <f>IF(Y925="Yes",NA(),#REF!)</f>
        <v>#N/A</v>
      </c>
      <c r="AK925" t="e">
        <f>IF(Y925="Yes",NA(),#REF!)</f>
        <v>#N/A</v>
      </c>
    </row>
    <row r="926" spans="1:37" x14ac:dyDescent="0.35">
      <c r="A926" s="12">
        <v>926</v>
      </c>
      <c r="C926">
        <v>91</v>
      </c>
      <c r="E926" s="23">
        <v>9.5</v>
      </c>
      <c r="F926" s="23">
        <v>8</v>
      </c>
      <c r="G926" t="s">
        <v>231</v>
      </c>
      <c r="H926" t="s">
        <v>232</v>
      </c>
      <c r="J926" s="14">
        <f t="shared" si="57"/>
        <v>109.80000000000001</v>
      </c>
      <c r="K926">
        <v>1300</v>
      </c>
      <c r="N926" t="s">
        <v>81</v>
      </c>
      <c r="Q926" t="s">
        <v>134</v>
      </c>
      <c r="U926">
        <v>3</v>
      </c>
      <c r="W926" t="s">
        <v>1499</v>
      </c>
      <c r="X926" t="s">
        <v>40</v>
      </c>
      <c r="Y926" t="s">
        <v>40</v>
      </c>
      <c r="AA926">
        <f t="shared" si="58"/>
        <v>10.98</v>
      </c>
      <c r="AB926" s="26">
        <v>34.5</v>
      </c>
      <c r="AC926">
        <f t="shared" si="59"/>
        <v>9.3482016398381274E-2</v>
      </c>
      <c r="AI926" t="e">
        <f>IF(Y926="Yes",NA(),#REF!)</f>
        <v>#N/A</v>
      </c>
      <c r="AJ926" t="e">
        <f>IF(Y926="Yes",NA(),#REF!)</f>
        <v>#N/A</v>
      </c>
      <c r="AK926" t="e">
        <f>IF(Y926="Yes",NA(),#REF!)</f>
        <v>#N/A</v>
      </c>
    </row>
    <row r="927" spans="1:37" x14ac:dyDescent="0.35">
      <c r="A927" s="12">
        <v>927</v>
      </c>
      <c r="C927">
        <v>91</v>
      </c>
      <c r="E927" s="2">
        <v>6</v>
      </c>
      <c r="F927" s="2">
        <v>7</v>
      </c>
      <c r="G927" t="s">
        <v>34</v>
      </c>
      <c r="H927" t="s">
        <v>587</v>
      </c>
      <c r="J927" s="14">
        <f t="shared" si="57"/>
        <v>178.29999999999998</v>
      </c>
      <c r="K927">
        <v>1300</v>
      </c>
      <c r="N927" t="s">
        <v>37</v>
      </c>
      <c r="Q927">
        <v>4</v>
      </c>
      <c r="U927">
        <v>3</v>
      </c>
      <c r="W927" t="s">
        <v>1500</v>
      </c>
      <c r="X927" t="s">
        <v>40</v>
      </c>
      <c r="Y927" t="s">
        <v>40</v>
      </c>
      <c r="AA927">
        <f t="shared" si="58"/>
        <v>17.829999999999998</v>
      </c>
      <c r="AB927">
        <v>56</v>
      </c>
      <c r="AC927">
        <f t="shared" si="59"/>
        <v>0.24630086404143978</v>
      </c>
      <c r="AI927" t="e">
        <f>IF(Y927="Yes",NA(),#REF!)</f>
        <v>#N/A</v>
      </c>
      <c r="AJ927" t="e">
        <f>IF(Y927="Yes",NA(),#REF!)</f>
        <v>#N/A</v>
      </c>
      <c r="AK927" t="e">
        <f>IF(Y927="Yes",NA(),#REF!)</f>
        <v>#N/A</v>
      </c>
    </row>
    <row r="928" spans="1:37" x14ac:dyDescent="0.35">
      <c r="A928" s="12">
        <v>928</v>
      </c>
      <c r="C928">
        <v>91</v>
      </c>
      <c r="E928" s="23">
        <v>5</v>
      </c>
      <c r="F928" s="23">
        <v>9.5</v>
      </c>
      <c r="G928" t="s">
        <v>404</v>
      </c>
      <c r="H928" t="s">
        <v>1501</v>
      </c>
      <c r="J928" s="14">
        <f t="shared" si="57"/>
        <v>120.3</v>
      </c>
      <c r="K928">
        <v>1300</v>
      </c>
      <c r="N928" t="s">
        <v>61</v>
      </c>
      <c r="Q928" t="s">
        <v>152</v>
      </c>
      <c r="U928">
        <v>3</v>
      </c>
      <c r="W928" t="s">
        <v>1502</v>
      </c>
      <c r="X928" t="s">
        <v>40</v>
      </c>
      <c r="Y928" t="s">
        <v>40</v>
      </c>
      <c r="AA928">
        <f t="shared" si="58"/>
        <v>12.03</v>
      </c>
      <c r="AB928" s="26">
        <v>37.799999999999997</v>
      </c>
      <c r="AC928">
        <f t="shared" si="59"/>
        <v>0.11222083117888099</v>
      </c>
      <c r="AI928" t="e">
        <f>IF(Y928="Yes",NA(),#REF!)</f>
        <v>#N/A</v>
      </c>
      <c r="AJ928" t="e">
        <f>IF(Y928="Yes",NA(),#REF!)</f>
        <v>#N/A</v>
      </c>
      <c r="AK928" t="e">
        <f>IF(Y928="Yes",NA(),#REF!)</f>
        <v>#N/A</v>
      </c>
    </row>
    <row r="929" spans="1:37" x14ac:dyDescent="0.35">
      <c r="A929" s="12">
        <v>929</v>
      </c>
      <c r="C929">
        <v>91</v>
      </c>
      <c r="E929" s="2">
        <v>4</v>
      </c>
      <c r="F929" s="2">
        <v>8.5</v>
      </c>
      <c r="G929" t="s">
        <v>76</v>
      </c>
      <c r="H929" t="s">
        <v>77</v>
      </c>
      <c r="J929" s="14">
        <f t="shared" si="57"/>
        <v>173.5</v>
      </c>
      <c r="K929">
        <v>1300</v>
      </c>
      <c r="N929" t="s">
        <v>54</v>
      </c>
      <c r="Q929" t="s">
        <v>38</v>
      </c>
      <c r="U929">
        <v>3</v>
      </c>
      <c r="W929" t="s">
        <v>1503</v>
      </c>
      <c r="X929" t="s">
        <v>40</v>
      </c>
      <c r="Y929" t="s">
        <v>40</v>
      </c>
      <c r="Z929" t="s">
        <v>1504</v>
      </c>
      <c r="AA929">
        <f t="shared" si="58"/>
        <v>17.350000000000001</v>
      </c>
      <c r="AB929">
        <v>54.5</v>
      </c>
      <c r="AC929">
        <f t="shared" si="59"/>
        <v>0.23328288948312706</v>
      </c>
      <c r="AI929" t="e">
        <f>IF(Y929="Yes",NA(),#REF!)</f>
        <v>#N/A</v>
      </c>
      <c r="AJ929" t="e">
        <f>IF(Y929="Yes",NA(),#REF!)</f>
        <v>#N/A</v>
      </c>
      <c r="AK929" t="e">
        <f>IF(Y929="Yes",NA(),#REF!)</f>
        <v>#N/A</v>
      </c>
    </row>
    <row r="930" spans="1:37" x14ac:dyDescent="0.35">
      <c r="A930" s="12">
        <v>930</v>
      </c>
      <c r="C930">
        <v>71</v>
      </c>
      <c r="E930" s="2">
        <v>8.5</v>
      </c>
      <c r="F930" s="2">
        <v>8.5</v>
      </c>
      <c r="G930" t="s">
        <v>178</v>
      </c>
      <c r="H930" t="s">
        <v>294</v>
      </c>
      <c r="J930" s="14">
        <f t="shared" si="57"/>
        <v>128.30000000000001</v>
      </c>
      <c r="K930">
        <v>1300</v>
      </c>
      <c r="N930" t="s">
        <v>54</v>
      </c>
      <c r="Q930" t="s">
        <v>38</v>
      </c>
      <c r="U930">
        <v>2</v>
      </c>
      <c r="W930" t="s">
        <v>1505</v>
      </c>
      <c r="X930" t="s">
        <v>40</v>
      </c>
      <c r="Y930" t="s">
        <v>40</v>
      </c>
      <c r="AA930">
        <f t="shared" si="58"/>
        <v>12.83</v>
      </c>
      <c r="AB930">
        <v>40.299999999999997</v>
      </c>
      <c r="AC930">
        <f t="shared" si="59"/>
        <v>0.12755573031921616</v>
      </c>
      <c r="AI930" t="e">
        <f>IF(Y930="Yes",NA(),#REF!)</f>
        <v>#N/A</v>
      </c>
      <c r="AJ930" t="e">
        <f>IF(Y930="Yes",NA(),#REF!)</f>
        <v>#N/A</v>
      </c>
      <c r="AK930" t="e">
        <f>IF(Y930="Yes",NA(),#REF!)</f>
        <v>#N/A</v>
      </c>
    </row>
    <row r="931" spans="1:37" x14ac:dyDescent="0.35">
      <c r="A931" s="12">
        <v>931</v>
      </c>
      <c r="C931">
        <v>71</v>
      </c>
      <c r="E931" s="2">
        <v>5</v>
      </c>
      <c r="F931" s="2">
        <v>8</v>
      </c>
      <c r="G931" t="s">
        <v>126</v>
      </c>
      <c r="H931" t="s">
        <v>127</v>
      </c>
      <c r="J931" s="14">
        <f t="shared" si="57"/>
        <v>181.1</v>
      </c>
      <c r="K931">
        <v>1300</v>
      </c>
      <c r="N931" t="s">
        <v>81</v>
      </c>
      <c r="Q931" t="s">
        <v>55</v>
      </c>
      <c r="U931">
        <v>3</v>
      </c>
      <c r="W931" t="s">
        <v>1506</v>
      </c>
      <c r="X931" t="s">
        <v>40</v>
      </c>
      <c r="Y931" t="s">
        <v>40</v>
      </c>
      <c r="Z931" t="s">
        <v>1507</v>
      </c>
      <c r="AA931">
        <f t="shared" si="58"/>
        <v>18.11</v>
      </c>
      <c r="AB931">
        <v>56.9</v>
      </c>
      <c r="AC931">
        <f t="shared" si="59"/>
        <v>0.25428129477972122</v>
      </c>
      <c r="AI931" t="e">
        <f>IF(Y931="Yes",NA(),#REF!)</f>
        <v>#N/A</v>
      </c>
      <c r="AJ931" t="e">
        <f>IF(Y931="Yes",NA(),#REF!)</f>
        <v>#N/A</v>
      </c>
      <c r="AK931" t="e">
        <f>IF(Y931="Yes",NA(),#REF!)</f>
        <v>#N/A</v>
      </c>
    </row>
    <row r="932" spans="1:37" x14ac:dyDescent="0.35">
      <c r="A932" s="12">
        <v>932</v>
      </c>
      <c r="C932">
        <v>90</v>
      </c>
      <c r="E932" s="2">
        <v>9.5</v>
      </c>
      <c r="F932" s="2">
        <v>8</v>
      </c>
      <c r="G932" t="s">
        <v>34</v>
      </c>
      <c r="H932" t="s">
        <v>35</v>
      </c>
      <c r="J932" s="14">
        <f t="shared" si="57"/>
        <v>143.19999999999999</v>
      </c>
      <c r="K932">
        <v>1300</v>
      </c>
      <c r="N932" t="s">
        <v>218</v>
      </c>
      <c r="Q932" t="s">
        <v>38</v>
      </c>
      <c r="U932">
        <v>3</v>
      </c>
      <c r="W932" t="s">
        <v>1508</v>
      </c>
      <c r="X932" t="s">
        <v>40</v>
      </c>
      <c r="Y932" t="s">
        <v>40</v>
      </c>
      <c r="AA932">
        <f t="shared" si="58"/>
        <v>14.32</v>
      </c>
      <c r="AB932">
        <v>45</v>
      </c>
      <c r="AC932">
        <f t="shared" si="59"/>
        <v>0.15904312808798329</v>
      </c>
      <c r="AI932" t="e">
        <f>IF(Y932="Yes",NA(),#REF!)</f>
        <v>#N/A</v>
      </c>
      <c r="AJ932" t="e">
        <f>IF(Y932="Yes",NA(),#REF!)</f>
        <v>#N/A</v>
      </c>
      <c r="AK932" t="e">
        <f>IF(Y932="Yes",NA(),#REF!)</f>
        <v>#N/A</v>
      </c>
    </row>
    <row r="933" spans="1:37" x14ac:dyDescent="0.35">
      <c r="A933" s="12">
        <v>933</v>
      </c>
      <c r="C933">
        <v>90</v>
      </c>
      <c r="E933" s="2">
        <v>9.8000000000000007</v>
      </c>
      <c r="F933" s="2">
        <v>7</v>
      </c>
      <c r="G933" t="s">
        <v>66</v>
      </c>
      <c r="H933" t="s">
        <v>1509</v>
      </c>
      <c r="J933" s="14">
        <f t="shared" si="57"/>
        <v>112.69999999999999</v>
      </c>
      <c r="K933">
        <v>1300</v>
      </c>
      <c r="N933" t="s">
        <v>37</v>
      </c>
      <c r="Q933" t="s">
        <v>934</v>
      </c>
      <c r="U933">
        <v>3</v>
      </c>
      <c r="W933" t="s">
        <v>1510</v>
      </c>
      <c r="X933" t="s">
        <v>40</v>
      </c>
      <c r="Y933" t="s">
        <v>40</v>
      </c>
      <c r="AA933">
        <f t="shared" si="58"/>
        <v>11.27</v>
      </c>
      <c r="AB933">
        <v>35.4</v>
      </c>
      <c r="AC933">
        <f t="shared" si="59"/>
        <v>9.8422956244314616E-2</v>
      </c>
      <c r="AI933" t="e">
        <f>IF(Y933="Yes",NA(),#REF!)</f>
        <v>#N/A</v>
      </c>
      <c r="AJ933" t="e">
        <f>IF(Y933="Yes",NA(),#REF!)</f>
        <v>#N/A</v>
      </c>
      <c r="AK933" t="e">
        <f>IF(Y933="Yes",NA(),#REF!)</f>
        <v>#N/A</v>
      </c>
    </row>
    <row r="934" spans="1:37" x14ac:dyDescent="0.35">
      <c r="A934" s="12">
        <v>934</v>
      </c>
      <c r="C934">
        <v>90</v>
      </c>
      <c r="E934" s="2">
        <v>5</v>
      </c>
      <c r="F934" s="2">
        <v>7</v>
      </c>
      <c r="G934" t="s">
        <v>47</v>
      </c>
      <c r="H934" t="s">
        <v>636</v>
      </c>
      <c r="J934" s="14">
        <f t="shared" si="57"/>
        <v>150.9</v>
      </c>
      <c r="K934">
        <v>1300</v>
      </c>
      <c r="N934" t="s">
        <v>54</v>
      </c>
      <c r="Q934" t="s">
        <v>152</v>
      </c>
      <c r="R934">
        <v>2</v>
      </c>
      <c r="U934">
        <v>3</v>
      </c>
      <c r="W934" t="s">
        <v>1511</v>
      </c>
      <c r="X934" t="s">
        <v>40</v>
      </c>
      <c r="Y934" t="s">
        <v>40</v>
      </c>
      <c r="Z934" t="s">
        <v>336</v>
      </c>
      <c r="AA934">
        <f t="shared" si="58"/>
        <v>15.09</v>
      </c>
      <c r="AB934">
        <v>47.4</v>
      </c>
      <c r="AC934">
        <f t="shared" si="59"/>
        <v>0.17646011775948506</v>
      </c>
      <c r="AI934" t="e">
        <f>IF(Y934="Yes",NA(),#REF!)</f>
        <v>#N/A</v>
      </c>
      <c r="AJ934" t="e">
        <f>IF(Y934="Yes",NA(),#REF!)</f>
        <v>#N/A</v>
      </c>
      <c r="AK934" t="e">
        <f>IF(Y934="Yes",NA(),#REF!)</f>
        <v>#N/A</v>
      </c>
    </row>
    <row r="935" spans="1:37" x14ac:dyDescent="0.35">
      <c r="A935" s="12">
        <v>935</v>
      </c>
      <c r="C935">
        <v>90</v>
      </c>
      <c r="E935" s="2">
        <v>4.4000000000000004</v>
      </c>
      <c r="F935" s="2">
        <v>6.5</v>
      </c>
      <c r="G935" t="s">
        <v>66</v>
      </c>
      <c r="H935" t="s">
        <v>67</v>
      </c>
      <c r="J935" s="14">
        <f t="shared" si="57"/>
        <v>114.60000000000001</v>
      </c>
      <c r="K935">
        <v>1300</v>
      </c>
      <c r="N935" t="s">
        <v>54</v>
      </c>
      <c r="Q935" t="s">
        <v>55</v>
      </c>
      <c r="R935">
        <v>0</v>
      </c>
      <c r="U935">
        <v>2</v>
      </c>
      <c r="W935" t="s">
        <v>1512</v>
      </c>
      <c r="X935" t="s">
        <v>40</v>
      </c>
      <c r="Y935" t="s">
        <v>40</v>
      </c>
      <c r="Z935" t="s">
        <v>336</v>
      </c>
      <c r="AA935">
        <f t="shared" si="58"/>
        <v>11.46</v>
      </c>
      <c r="AB935" s="26">
        <v>36</v>
      </c>
      <c r="AC935">
        <f t="shared" si="59"/>
        <v>0.10178760197630929</v>
      </c>
      <c r="AI935" t="e">
        <f>IF(Y935="Yes",NA(),#REF!)</f>
        <v>#N/A</v>
      </c>
      <c r="AJ935" t="e">
        <f>IF(Y935="Yes",NA(),#REF!)</f>
        <v>#N/A</v>
      </c>
      <c r="AK935" t="e">
        <f>IF(Y935="Yes",NA(),#REF!)</f>
        <v>#N/A</v>
      </c>
    </row>
    <row r="936" spans="1:37" x14ac:dyDescent="0.35">
      <c r="A936" s="12">
        <v>936</v>
      </c>
      <c r="C936">
        <v>90</v>
      </c>
      <c r="E936" s="2">
        <v>5</v>
      </c>
      <c r="F936" s="2">
        <v>4</v>
      </c>
      <c r="G936" t="s">
        <v>34</v>
      </c>
      <c r="H936" t="s">
        <v>35</v>
      </c>
      <c r="J936" s="14">
        <f t="shared" si="57"/>
        <v>159.19999999999999</v>
      </c>
      <c r="K936">
        <v>1300</v>
      </c>
      <c r="N936" t="s">
        <v>54</v>
      </c>
      <c r="Q936" t="s">
        <v>55</v>
      </c>
      <c r="W936" t="s">
        <v>1513</v>
      </c>
      <c r="X936" t="s">
        <v>40</v>
      </c>
      <c r="Y936" t="s">
        <v>40</v>
      </c>
      <c r="AA936">
        <f t="shared" si="58"/>
        <v>15.92</v>
      </c>
      <c r="AB936">
        <v>50</v>
      </c>
      <c r="AC936">
        <f t="shared" ref="AC936:AC938" si="60">PI()*(AB936/2)*(AB936/2)/10000</f>
        <v>0.19634954084936207</v>
      </c>
      <c r="AI936" t="e">
        <f>IF(Y936="Yes",NA(),#REF!)</f>
        <v>#N/A</v>
      </c>
      <c r="AJ936" t="e">
        <f>IF(Y936="Yes",NA(),#REF!)</f>
        <v>#N/A</v>
      </c>
      <c r="AK936" t="e">
        <f>IF(Y936="Yes",NA(),#REF!)</f>
        <v>#N/A</v>
      </c>
    </row>
    <row r="937" spans="1:37" x14ac:dyDescent="0.35">
      <c r="A937" s="12">
        <v>937</v>
      </c>
      <c r="C937">
        <v>90</v>
      </c>
      <c r="E937" s="2">
        <v>8</v>
      </c>
      <c r="F937" s="2">
        <v>2.5</v>
      </c>
      <c r="G937" t="s">
        <v>42</v>
      </c>
      <c r="H937" t="s">
        <v>43</v>
      </c>
      <c r="J937" s="14">
        <f t="shared" si="57"/>
        <v>162.30000000000001</v>
      </c>
      <c r="K937">
        <v>1300</v>
      </c>
      <c r="N937" t="s">
        <v>81</v>
      </c>
      <c r="Q937" t="s">
        <v>55</v>
      </c>
      <c r="W937" t="s">
        <v>1514</v>
      </c>
      <c r="X937" t="s">
        <v>40</v>
      </c>
      <c r="Y937" t="s">
        <v>40</v>
      </c>
      <c r="Z937" t="s">
        <v>1515</v>
      </c>
      <c r="AA937">
        <f t="shared" si="58"/>
        <v>16.23</v>
      </c>
      <c r="AB937">
        <v>51</v>
      </c>
      <c r="AC937">
        <f t="shared" si="60"/>
        <v>0.2042820622996763</v>
      </c>
      <c r="AI937" t="e">
        <f>IF(Y937="Yes",NA(),#REF!)</f>
        <v>#N/A</v>
      </c>
      <c r="AJ937" t="e">
        <f>IF(Y937="Yes",NA(),#REF!)</f>
        <v>#N/A</v>
      </c>
      <c r="AK937" t="e">
        <f>IF(Y937="Yes",NA(),#REF!)</f>
        <v>#N/A</v>
      </c>
    </row>
    <row r="938" spans="1:37" x14ac:dyDescent="0.35">
      <c r="A938" s="12">
        <v>938</v>
      </c>
      <c r="C938">
        <v>89</v>
      </c>
      <c r="E938" s="2">
        <v>1</v>
      </c>
      <c r="F938" s="2">
        <v>1.5</v>
      </c>
      <c r="G938" t="s">
        <v>63</v>
      </c>
      <c r="H938" t="s">
        <v>728</v>
      </c>
      <c r="J938" s="14">
        <f t="shared" si="57"/>
        <v>122.5</v>
      </c>
      <c r="K938">
        <v>1300</v>
      </c>
      <c r="N938" t="s">
        <v>54</v>
      </c>
      <c r="Q938" t="s">
        <v>934</v>
      </c>
      <c r="W938" t="s">
        <v>1516</v>
      </c>
      <c r="AA938">
        <f t="shared" si="58"/>
        <v>12.25</v>
      </c>
      <c r="AB938">
        <v>38.5</v>
      </c>
      <c r="AC938">
        <f t="shared" si="60"/>
        <v>0.11641564276958677</v>
      </c>
      <c r="AI938" t="e">
        <f>IF(Y938="Yes",NA(),#REF!)</f>
        <v>#REF!</v>
      </c>
      <c r="AJ938" t="e">
        <f>IF(Y938="Yes",NA(),#REF!)</f>
        <v>#REF!</v>
      </c>
      <c r="AK938" t="e">
        <f>IF(Y938="Yes",NA(),#REF!)</f>
        <v>#REF!</v>
      </c>
    </row>
    <row r="939" spans="1:37" x14ac:dyDescent="0.35">
      <c r="A939" s="12">
        <v>1700</v>
      </c>
      <c r="G939" t="s">
        <v>112</v>
      </c>
      <c r="H939" t="s">
        <v>354</v>
      </c>
      <c r="J939" s="14"/>
      <c r="O939">
        <v>5</v>
      </c>
      <c r="W939" t="s">
        <v>1517</v>
      </c>
      <c r="Y939" t="s">
        <v>426</v>
      </c>
      <c r="AB939" s="26"/>
      <c r="AI939" t="e">
        <f>IF(Y939="Yes",NA(),#REF!)</f>
        <v>#N/A</v>
      </c>
      <c r="AJ939" t="e">
        <f>IF(Y939="Yes",NA(),#REF!)</f>
        <v>#N/A</v>
      </c>
      <c r="AK939" t="e">
        <f>IF(Y939="Yes",NA(),#REF!)</f>
        <v>#N/A</v>
      </c>
    </row>
    <row r="940" spans="1:37" hidden="1" x14ac:dyDescent="0.35"/>
  </sheetData>
  <mergeCells count="3">
    <mergeCell ref="C1:H1"/>
    <mergeCell ref="J1:L1"/>
    <mergeCell ref="M1:Z1"/>
  </mergeCells>
  <conditionalFormatting sqref="W3:W939 X1:X169 Y172 I117 Y169 X170:Y171 Y795 X796:Y796 Y764:Y765 Z764 Y534:Y536 Y274:Y275 X797:X803 Y803 X804:Y804 X172:X795 X805:X1048576 Z2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7052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Moonlight</dc:creator>
  <dc:description/>
  <cp:lastModifiedBy>Giulia Cavalcanti Ottino</cp:lastModifiedBy>
  <cp:revision>16</cp:revision>
  <cp:lastPrinted>2025-06-18T18:02:10Z</cp:lastPrinted>
  <dcterms:created xsi:type="dcterms:W3CDTF">2023-05-28T20:04:02Z</dcterms:created>
  <dcterms:modified xsi:type="dcterms:W3CDTF">2026-03-17T04:15:57Z</dcterms:modified>
  <dc:language>pt-BR</dc:language>
</cp:coreProperties>
</file>